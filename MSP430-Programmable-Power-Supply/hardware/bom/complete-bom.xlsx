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c944ad3df647d9" /></Relationships>
</file>

<file path=xl/workbook.xml><?xml version="1.0" encoding="utf-8"?>
<x:workbook xmlns:x="http://schemas.openxmlformats.org/spreadsheetml/2006/main">
  <x:sheets>
    <x:sheet xmlns:r="http://schemas.openxmlformats.org/officeDocument/2006/relationships" name="PCB BOM" sheetId="1" r:id="R9fdcf758d9744c0f"/>
    <x:sheet xmlns:r="http://schemas.openxmlformats.org/officeDocument/2006/relationships" name="Off-board BOM" sheetId="2" r:id="R07b0af5d672d4a4e"/>
    <x:sheet xmlns:r="http://schemas.openxmlformats.org/officeDocument/2006/relationships" name="Cost Summary" sheetId="3" r:id="R9f1d2aed8a7a4b4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
    <x:numFmt numFmtId="202" formatCode="$#,##0.00"/>
  </x:numFmts>
  <x:fonts count="6">
    <x:font>
      <x:sz val="11"/>
      <x:name val="Carlito"/>
    </x:font>
    <x:font>
      <x:b/>
      <x:sz val="11"/>
      <x:color rgb="FFFFFFFF"/>
      <x:name val="Carlito"/>
    </x:font>
    <x:font>
      <x:sz val="11"/>
      <x:color rgb="FF1F2937"/>
      <x:name val="Carlito"/>
    </x:font>
    <x:font>
      <x:b/>
      <x:sz val="11"/>
      <x:color rgb="FF385723"/>
      <x:name val="Carlito"/>
    </x:font>
    <x:font>
      <x:b/>
      <x:sz val="11"/>
      <x:color rgb="FF17365D"/>
      <x:name val="Carlito"/>
    </x:font>
    <x:font>
      <x:sz val="11"/>
      <x:color rgb="FF7F6000"/>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E2F0D9"/>
      </x:patternFill>
    </x:fill>
    <x:fill>
      <x:patternFill patternType="solid">
        <x:fgColor rgb="FFFFF2CC"/>
      </x:patternFill>
    </x:fill>
  </x:fills>
  <x:borders count="10">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applyAlignment="1">
      <x:alignment horizontal="right" vertical="top"/>
    </x:xf>
    <x:xf numFmtId="201" fontId="0" fillId="0" borderId="0" xfId="0" applyNumberFormat="1" applyFont="1" applyFill="1" applyBorder="1" applyAlignment="1">
      <x:alignment horizontal="right" vertical="top"/>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2" fontId="0" fillId="0" borderId="2" xfId="0" applyNumberFormat="1" applyFont="1" applyFill="1" applyBorder="1"/>
    <x:xf numFmtId="202" fontId="0" fillId="0" borderId="4" xfId="0" applyNumberFormat="1" applyFont="1" applyFill="1" applyBorder="1"/>
    <x:xf numFmtId="202" fontId="0" fillId="0" borderId="6" xfId="0" applyNumberFormat="1" applyFont="1" applyFill="1" applyBorder="1"/>
    <x:xf numFmtId="202" fontId="0" fillId="0" borderId="7" xfId="0" applyNumberFormat="1" applyFont="1" applyFill="1" applyBorder="1"/>
    <x:xf numFmtId="202" fontId="0" fillId="0" borderId="8" xfId="0" applyNumberFormat="1" applyFont="1" applyFill="1" applyBorder="1"/>
    <x:xf numFmtId="202" fontId="0" fillId="0" borderId="9" xfId="0" applyNumberFormat="1" applyFont="1" applyFill="1" applyBorder="1"/>
    <x:xf numFmtId="202" fontId="0" fillId="6" borderId="4" xfId="0" applyNumberFormat="1" applyFont="1" applyFill="1" applyBorder="1"/>
    <x:xf numFmtId="202" fontId="3" fillId="6" borderId="4" xfId="0" applyNumberFormat="1" applyFont="1" applyFill="1" applyBorder="1"/>
    <x:xf numFmtId="0" fontId="0" fillId="3" borderId="5" xfId="0" applyNumberFormat="1" applyFont="1" applyFill="1" applyBorder="1"/>
    <x:xf numFmtId="202" fontId="0" fillId="3" borderId="6" xfId="0" applyNumberFormat="1" applyFont="1" applyFill="1" applyBorder="1"/>
    <x:xf numFmtId="0" fontId="4" fillId="3" borderId="5" xfId="0" applyNumberFormat="1" applyFont="1" applyFill="1" applyBorder="1"/>
    <x:xf numFmtId="202" fontId="4" fillId="3" borderId="6"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0"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0" xfId="0" applyNumberFormat="1" applyFont="1" applyFill="1" applyBorder="1"/>
    <x:xf numFmtId="0" fontId="5" fillId="7" borderId="5" xfId="0" applyNumberFormat="1" applyFont="1" applyFill="1" applyBorder="1" applyAlignment="1">
      <x:alignment wrapText="1"/>
    </x:xf>
    <x:xf numFmtId="0" fontId="5" fillId="7" borderId="6"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5"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dxfs count="4">
    <x:dxf>
      <x:font>
        <x:b/>
        <x:color rgb="FF9C0006"/>
      </x:font>
      <x:fill>
        <x:patternFill patternType="solid">
          <x:bgColor rgb="FFFDE2E2"/>
        </x:patternFill>
      </x:fill>
    </x:dxf>
    <x:dxf>
      <x:font>
        <x:color rgb="FF7F6000"/>
      </x:font>
      <x:fill>
        <x:patternFill patternType="solid">
          <x:bgColor rgb="FFFFF2CC"/>
        </x:patternFill>
      </x:fill>
    </x:dxf>
    <x:dxf>
      <x:font>
        <x:b/>
        <x:color rgb="FF9C0006"/>
      </x:font>
      <x:fill>
        <x:patternFill patternType="solid">
          <x:bgColor rgb="FFFDE2E2"/>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c2bde864dc4623" /><Relationship Type="http://schemas.openxmlformats.org/officeDocument/2006/relationships/theme" Target="/xl/theme/theme1.xml" Id="R6d78d1c3de764386" /><Relationship Type="http://schemas.openxmlformats.org/officeDocument/2006/relationships/sharedStrings" Target="/xl/sharedStrings.xml" Id="R766633860a4446de" /><Relationship Type="http://schemas.openxmlformats.org/officeDocument/2006/relationships/worksheet" Target="/xl/worksheets/sheet1.xml" Id="R9fdcf758d9744c0f" /><Relationship Type="http://schemas.openxmlformats.org/officeDocument/2006/relationships/worksheet" Target="/xl/worksheets/sheet2.xml" Id="R07b0af5d672d4a4e" /><Relationship Type="http://schemas.openxmlformats.org/officeDocument/2006/relationships/worksheet" Target="/xl/worksheets/sheet3.xml" Id="R9f1d2aed8a7a4b47" /></Relationships>
</file>

<file path=xl/tables/table1.xml><?xml version="1.0" encoding="utf-8"?>
<x:table xmlns:x="http://schemas.openxmlformats.org/spreadsheetml/2006/main" id="1" name="PcbBomTable" displayName="PcbBomTable" ref="A6:L62" headerRowCount="1" totalsRowCount="0" totalsRowShown="0">
  <x:autoFilter ref="A6:L62"/>
  <x:tableColumns count="12">
    <x:tableColumn id="1" name="Item"/>
    <x:tableColumn id="2" name="Cost category"/>
    <x:tableColumn id="3" name="Designators"/>
    <x:tableColumn id="4" name="Qty."/>
    <x:tableColumn id="5" name="Component / value"/>
    <x:tableColumn id="6" name="Key specification"/>
    <x:tableColumn id="7" name="Manufacturer"/>
    <x:tableColumn id="8" name="Manufacturer part number"/>
    <x:tableColumn id="9" name="Allocated unit cost"/>
    <x:tableColumn id="10" name="Extended cost"/>
    <x:tableColumn id="11" name="Cost status"/>
    <x:tableColumn id="12" name="Source / allocation note"/>
  </x:tableColumns>
  <x:tableStyleInfo name="TableStyleMedium2" showFirstColumn="0" showLastColumn="0" showRowStripes="1" showColumnStripes="0"/>
</x:table>
</file>

<file path=xl/tables/table2.xml><?xml version="1.0" encoding="utf-8"?>
<x:table xmlns:x="http://schemas.openxmlformats.org/spreadsheetml/2006/main" id="2" name="OffboardBomTable" displayName="OffboardBomTable" ref="A6:L18" headerRowCount="1" totalsRowCount="0" totalsRowShown="0">
  <x:autoFilter ref="A6:L18"/>
  <x:tableColumns count="12">
    <x:tableColumn id="1" name="Item"/>
    <x:tableColumn id="2" name="Cost category"/>
    <x:tableColumn id="3" name="Designators"/>
    <x:tableColumn id="4" name="Qty."/>
    <x:tableColumn id="5" name="Component / value"/>
    <x:tableColumn id="6" name="Key specification"/>
    <x:tableColumn id="7" name="Manufacturer"/>
    <x:tableColumn id="8" name="Manufacturer part number"/>
    <x:tableColumn id="9" name="Allocated unit cost"/>
    <x:tableColumn id="10" name="Extended cost"/>
    <x:tableColumn id="11" name="Cost status"/>
    <x:tableColumn id="12" name="Source / allocation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80cda1c1814d3f" /></Relationships>
</file>

<file path=xl/worksheets/_rels/sheet2.xml.rels>&#65279;<?xml version="1.0" encoding="utf-8"?><Relationships xmlns="http://schemas.openxmlformats.org/package/2006/relationships"><Relationship Type="http://schemas.openxmlformats.org/officeDocument/2006/relationships/table" Target="/xl/tables/table2.xml" Id="Rb75282dc9841451d"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2" hidden="0" customWidth="1"/>
    <x:col min="3" max="3" width="26" hidden="0" customWidth="1"/>
    <x:col min="4" max="4" width="8" hidden="0" customWidth="1"/>
    <x:col min="5" max="5" width="29" hidden="0" customWidth="1"/>
    <x:col min="6" max="6" width="36" hidden="0" customWidth="1"/>
    <x:col min="7" max="7" width="24" hidden="0" customWidth="1"/>
    <x:col min="8" max="8" width="28" hidden="0" customWidth="1"/>
    <x:col min="9" max="9" width="15" hidden="0" customWidth="1"/>
    <x:col min="10" max="10" width="14" hidden="0" customWidth="1"/>
    <x:col min="11" max="11" width="23" hidden="0" customWidth="1"/>
    <x:col min="12" max="12" width="46" hidden="0" customWidth="1"/>
  </x:cols>
  <x:sheetData>
    <x:row r="1" ht="28" customHeight="1">
      <x:c r="A1" s="3" t="str">
        <x:v>Appendix C - Table C.1: Custom PCB Bill of Materials</x:v>
      </x:c>
      <x:c r="B1" s="3"/>
      <x:c r="C1" s="3"/>
      <x:c r="D1" s="3"/>
      <x:c r="E1" s="3"/>
      <x:c r="F1" s="3"/>
      <x:c r="G1" s="3"/>
      <x:c r="H1" s="3"/>
      <x:c r="I1" s="3"/>
      <x:c r="J1" s="3"/>
      <x:c r="K1" s="3"/>
      <x:c r="L1" s="3"/>
    </x:row>
    <x:row r="2" ht="24" customHeight="1">
      <x:c r="A2" s="7" t="str">
        <x:v>Installed PCB, components, modules, protection devices, connectors, and IC sockets.</x:v>
      </x:c>
      <x:c r="B2" s="7"/>
      <x:c r="C2" s="7"/>
      <x:c r="D2" s="7"/>
      <x:c r="E2" s="7"/>
      <x:c r="F2" s="7"/>
      <x:c r="G2" s="7"/>
      <x:c r="H2" s="7"/>
      <x:c r="I2" s="7"/>
      <x:c r="J2" s="7"/>
      <x:c r="K2" s="7"/>
      <x:c r="L2" s="7"/>
    </x:row>
    <x:row r="3" ht="24" customHeight="1">
      <x:c r="A3" s="7" t="str">
        <x:v>All quantities correspond to one completed system. Purchased spares and unused multipack quantities are excluded.</x:v>
      </x:c>
      <x:c r="B3" s="7"/>
      <x:c r="C3" s="7"/>
      <x:c r="D3" s="7"/>
      <x:c r="E3" s="7"/>
      <x:c r="F3" s="7"/>
      <x:c r="G3" s="7"/>
      <x:c r="H3" s="7"/>
      <x:c r="I3" s="7"/>
      <x:c r="J3" s="7"/>
      <x:c r="K3" s="7"/>
      <x:c r="L3" s="7"/>
    </x:row>
    <x:row r="6" ht="36" hidden="0" customHeight="1">
      <x:c r="A6" s="13" t="str">
        <x:v>Item</x:v>
      </x:c>
      <x:c r="B6" s="13" t="str">
        <x:v>Cost category</x:v>
      </x:c>
      <x:c r="C6" s="13" t="str">
        <x:v>Designators</x:v>
      </x:c>
      <x:c r="D6" s="13" t="str">
        <x:v>Qty.</x:v>
      </x:c>
      <x:c r="E6" s="13" t="str">
        <x:v>Component / value</x:v>
      </x:c>
      <x:c r="F6" s="13" t="str">
        <x:v>Key specification</x:v>
      </x:c>
      <x:c r="G6" s="13" t="str">
        <x:v>Manufacturer</x:v>
      </x:c>
      <x:c r="H6" s="13" t="str">
        <x:v>Manufacturer part number</x:v>
      </x:c>
      <x:c r="I6" s="13" t="str">
        <x:v>Allocated unit cost</x:v>
      </x:c>
      <x:c r="J6" s="13" t="str">
        <x:v>Extended cost</x:v>
      </x:c>
      <x:c r="K6" s="13" t="str">
        <x:v>Cost status</x:v>
      </x:c>
      <x:c r="L6" s="13" t="str">
        <x:v>Source / allocation note</x:v>
      </x:c>
    </x:row>
    <x:row r="7" ht="26.399999618530273" hidden="0" customHeight="1">
      <x:c r="A7" s="16" t="n">
        <x:v>1</x:v>
      </x:c>
      <x:c r="B7" s="15" t="str">
        <x:v>Custom PCB fabrication</x:v>
      </x:c>
      <x:c r="C7" s="15" t="str">
        <x:v>PCB-1</x:v>
      </x:c>
      <x:c r="D7" s="16" t="n">
        <x:v>1</x:v>
      </x:c>
      <x:c r="E7" s="15" t="str">
        <x:v>Custom four-layer PCB</x:v>
      </x:c>
      <x:c r="F7" s="15" t="str">
        <x:v>1.6 mm nominal board; one usable board installed</x:v>
      </x:c>
      <x:c r="G7" s="15" t="str">
        <x:v>JLCPCB</x:v>
      </x:c>
      <x:c r="H7" s="15" t="str">
        <x:v>Custom BMS PCB</x:v>
      </x:c>
      <x:c r="I7" s="19" t="n">
        <x:v>17.442</x:v>
      </x:c>
      <x:c r="J7" s="20" t="n">
        <x:f>IF(I7="","",D7*I7)</x:f>
        <x:v>17.442</x:v>
      </x:c>
      <x:c r="K7" s="15" t="str">
        <x:v>Known</x:v>
      </x:c>
      <x:c r="L7" s="15" t="str">
        <x:v>JLCPCB order total allocated across five boards</x:v>
      </x:c>
    </x:row>
    <x:row r="8" ht="26.399999618530273" hidden="0" customHeight="1">
      <x:c r="A8" s="16" t="n">
        <x:v>2</x:v>
      </x:c>
      <x:c r="B8" s="15" t="str">
        <x:v>Control and sensing</x:v>
      </x:c>
      <x:c r="C8" s="15" t="str">
        <x:v>Op-amp IC (Altium export: 1)</x:v>
      </x:c>
      <x:c r="D8" s="16" t="n">
        <x:v>1</x:v>
      </x:c>
      <x:c r="E8" s="15" t="str">
        <x:v>MCP6002-I/P</x:v>
      </x:c>
      <x:c r="F8" s="15" t="str">
        <x:v>Dual general-purpose operational amplifier, 8-pin PDIP</x:v>
      </x:c>
      <x:c r="G8" s="15" t="str">
        <x:v>Microchip Technology</x:v>
      </x:c>
      <x:c r="H8" s="15" t="str">
        <x:v>MCP6002-I/P</x:v>
      </x:c>
      <x:c r="I8" s="19" t="n">
        <x:v>0.5950259067357514</x:v>
      </x:c>
      <x:c r="J8" s="20" t="n">
        <x:f>IF(I8="","",D8*I8)</x:f>
        <x:v>0.5950259067357514</x:v>
      </x:c>
      <x:c r="K8" s="15" t="str">
        <x:v>Known</x:v>
      </x:c>
      <x:c r="L8" s="15" t="str">
        <x:v>DigiKey invoice 128543474; unit price with proportional tariff, shipping, and tax</x:v>
      </x:c>
    </x:row>
    <x:row r="9" ht="26.399999618530273" hidden="0" customHeight="1">
      <x:c r="A9" s="16" t="n">
        <x:v>3</x:v>
      </x:c>
      <x:c r="B9" s="15" t="str">
        <x:v>Interconnect and protection</x:v>
      </x:c>
      <x:c r="C9" s="15" t="str">
        <x:v>AUX, LED, MENU</x:v>
      </x:c>
      <x:c r="D9" s="16" t="n">
        <x:v>3</x:v>
      </x:c>
      <x:c r="E9" s="15" t="str">
        <x:v>2-position JST-XH headers</x:v>
      </x:c>
      <x:c r="F9" s="15" t="str">
        <x:v>Vertical, 2.50 mm pitch</x:v>
      </x:c>
      <x:c r="G9" s="15" t="str">
        <x:v>JST</x:v>
      </x:c>
      <x:c r="H9" s="15" t="str">
        <x:v>B2B-XH-A(LF)(SN)</x:v>
      </x:c>
      <x:c r="I9" s="19"/>
      <x:c r="J9" s="20" t="str">
        <x:f>IF(I9="","",D9*I9)</x:f>
      </x:c>
      <x:c r="K9" s="15" t="str">
        <x:v>Included in connector-set cost</x:v>
      </x:c>
      <x:c r="L9" s="15" t="str">
        <x:v>Cost included in the $1.50 miscellaneous connector set on Off-board BOM</x:v>
      </x:c>
    </x:row>
    <x:row r="10" ht="26.399999618530273" hidden="0" customHeight="1">
      <x:c r="A10" s="16" t="n">
        <x:v>4</x:v>
      </x:c>
      <x:c r="B10" s="15" t="str">
        <x:v>Passives</x:v>
      </x:c>
      <x:c r="C10" s="15" t="str">
        <x:v>C1</x:v>
      </x:c>
      <x:c r="D10" s="16" t="n">
        <x:v>1</x:v>
      </x:c>
      <x:c r="E10" s="15" t="str">
        <x:v>2.2 nF ceramic capacitor</x:v>
      </x:c>
      <x:c r="F10" s="15" t="str">
        <x:v>250 V, C0G, 5%, radial</x:v>
      </x:c>
      <x:c r="G10" s="15" t="str">
        <x:v>KEMET</x:v>
      </x:c>
      <x:c r="H10" s="15" t="str">
        <x:v>C325C222JAG5TA</x:v>
      </x:c>
      <x:c r="I10" s="19" t="n">
        <x:v>0.7708290155440415</x:v>
      </x:c>
      <x:c r="J10" s="20" t="n">
        <x:f>IF(I10="","",D10*I10)</x:f>
        <x:v>0.7708290155440415</x:v>
      </x:c>
      <x:c r="K10" s="15" t="str">
        <x:v>Known</x:v>
      </x:c>
      <x:c r="L10" s="15" t="str">
        <x:v>DigiKey invoice 128543474; unit price with proportional tariff, shipping, and tax</x:v>
      </x:c>
    </x:row>
    <x:row r="11" ht="39.599998474121094" hidden="0" customHeight="1">
      <x:c r="A11" s="16" t="n">
        <x:v>5</x:v>
      </x:c>
      <x:c r="B11" s="15" t="str">
        <x:v>Passives</x:v>
      </x:c>
      <x:c r="C11" s="15" t="str">
        <x:v>C2, C3, C5, C7, C8, C10, C11, C13, C14, C18, C19, Cbot, Cdriver, CIN2</x:v>
      </x:c>
      <x:c r="D11" s="16" t="n">
        <x:v>14</x:v>
      </x:c>
      <x:c r="E11" s="15" t="str">
        <x:v>0.1 µF ceramic capacitors</x:v>
      </x:c>
      <x:c r="F11" s="15" t="str">
        <x:v>50 V, X7R, radial</x:v>
      </x:c>
      <x:c r="G11" s="15" t="str">
        <x:v>Vishay</x:v>
      </x:c>
      <x:c r="H11" s="15" t="str">
        <x:v>K104K15X7RF5TL2</x:v>
      </x:c>
      <x:c r="I11" s="19" t="n">
        <x:v>0.2190777202072539</x:v>
      </x:c>
      <x:c r="J11" s="20" t="n">
        <x:f>IF(I11="","",D11*I11)</x:f>
        <x:v>3.067088082901555</x:v>
      </x:c>
      <x:c r="K11" s="15" t="str">
        <x:v>Known</x:v>
      </x:c>
      <x:c r="L11" s="15" t="str">
        <x:v>DigiKey invoice 128543474; unit price with proportional tariff, shipping, and tax</x:v>
      </x:c>
    </x:row>
    <x:row r="12" ht="26.399999618530273" hidden="0" customHeight="1">
      <x:c r="A12" s="16" t="n">
        <x:v>6</x:v>
      </x:c>
      <x:c r="B12" s="15" t="str">
        <x:v>Passives</x:v>
      </x:c>
      <x:c r="C12" s="15" t="str">
        <x:v>C4, C15, C16, C17, C20</x:v>
      </x:c>
      <x:c r="D12" s="16" t="n">
        <x:v>5</x:v>
      </x:c>
      <x:c r="E12" s="15" t="str">
        <x:v>10 nF ceramic capacitors</x:v>
      </x:c>
      <x:c r="F12" s="15" t="str">
        <x:v>25 V, C0G, 10%, radial</x:v>
      </x:c>
      <x:c r="G12" s="15" t="str">
        <x:v>KEMET</x:v>
      </x:c>
      <x:c r="H12" s="15" t="str">
        <x:v>C320C103K3G5TA</x:v>
      </x:c>
      <x:c r="I12" s="19" t="n">
        <x:v>0.4665544041450777</x:v>
      </x:c>
      <x:c r="J12" s="20" t="n">
        <x:f>IF(I12="","",D12*I12)</x:f>
        <x:v>2.3327720207253884</x:v>
      </x:c>
      <x:c r="K12" s="15" t="str">
        <x:v>Known</x:v>
      </x:c>
      <x:c r="L12" s="15" t="str">
        <x:v>DigiKey invoice 128543474; unit price with proportional tariff, shipping, and tax</x:v>
      </x:c>
    </x:row>
    <x:row r="13" ht="26.399999618530273" hidden="0" customHeight="1">
      <x:c r="A13" s="16" t="n">
        <x:v>7</x:v>
      </x:c>
      <x:c r="B13" s="15" t="str">
        <x:v>Passives</x:v>
      </x:c>
      <x:c r="C13" s="15" t="str">
        <x:v>C6</x:v>
      </x:c>
      <x:c r="D13" s="16" t="n">
        <x:v>1</x:v>
      </x:c>
      <x:c r="E13" s="15" t="str">
        <x:v>470 µF aluminum electrolytic capacitor</x:v>
      </x:c>
      <x:c r="F13" s="15" t="str">
        <x:v>35 V, radial</x:v>
      </x:c>
      <x:c r="G13" s="15" t="str">
        <x:v>Rubycon</x:v>
      </x:c>
      <x:c r="H13" s="15" t="str">
        <x:v>35PX470MEFC10X12.5</x:v>
      </x:c>
      <x:c r="I13" s="19" t="n">
        <x:v>0.8384455958549224</x:v>
      </x:c>
      <x:c r="J13" s="20" t="n">
        <x:f>IF(I13="","",D13*I13)</x:f>
        <x:v>0.8384455958549224</x:v>
      </x:c>
      <x:c r="K13" s="15" t="str">
        <x:v>Known</x:v>
      </x:c>
      <x:c r="L13" s="15" t="str">
        <x:v>DigiKey invoice 128543474; unit price with proportional tariff, shipping, and tax</x:v>
      </x:c>
    </x:row>
    <x:row r="14" ht="26.399999618530273" hidden="0" customHeight="1">
      <x:c r="A14" s="16" t="n">
        <x:v>8</x:v>
      </x:c>
      <x:c r="B14" s="15" t="str">
        <x:v>Passives</x:v>
      </x:c>
      <x:c r="C14" s="15" t="str">
        <x:v>C9, C12</x:v>
      </x:c>
      <x:c r="D14" s="16" t="n">
        <x:v>2</x:v>
      </x:c>
      <x:c r="E14" s="15" t="str">
        <x:v>10 µF ceramic capacitors</x:v>
      </x:c>
      <x:c r="F14" s="15" t="str">
        <x:v>25 V, X7R, radial</x:v>
      </x:c>
      <x:c r="G14" s="15" t="str">
        <x:v>TDK</x:v>
      </x:c>
      <x:c r="H14" s="15" t="str">
        <x:v>FG26X7R1E106KRT06</x:v>
      </x:c>
      <x:c r="I14" s="19" t="n">
        <x:v>1.0412953367875648</x:v>
      </x:c>
      <x:c r="J14" s="20" t="n">
        <x:f>IF(I14="","",D14*I14)</x:f>
        <x:v>2.0825906735751296</x:v>
      </x:c>
      <x:c r="K14" s="15" t="str">
        <x:v>Known</x:v>
      </x:c>
      <x:c r="L14" s="15" t="str">
        <x:v>DigiKey invoice 128543474; unit price with proportional tariff, shipping, and tax</x:v>
      </x:c>
    </x:row>
    <x:row r="15" ht="26.399999618530273" hidden="0" customHeight="1">
      <x:c r="A15" s="16" t="n">
        <x:v>9</x:v>
      </x:c>
      <x:c r="B15" s="15" t="str">
        <x:v>Passives</x:v>
      </x:c>
      <x:c r="C15" s="15" t="str">
        <x:v>CIN1, COUT1</x:v>
      </x:c>
      <x:c r="D15" s="16" t="n">
        <x:v>2</x:v>
      </x:c>
      <x:c r="E15" s="15" t="str">
        <x:v>220 µF aluminum electrolytic capacitors</x:v>
      </x:c>
      <x:c r="F15" s="15" t="str">
        <x:v>35 V, low-impedance radial</x:v>
      </x:c>
      <x:c r="G15" s="15" t="str">
        <x:v>Rubycon</x:v>
      </x:c>
      <x:c r="H15" s="15" t="str">
        <x:v>35ZLH220MEFC8X11.5</x:v>
      </x:c>
      <x:c r="I15" s="19" t="n">
        <x:v>0.5815025906735751</x:v>
      </x:c>
      <x:c r="J15" s="20" t="n">
        <x:f>IF(I15="","",D15*I15)</x:f>
        <x:v>1.1630051813471503</x:v>
      </x:c>
      <x:c r="K15" s="15" t="str">
        <x:v>Known</x:v>
      </x:c>
      <x:c r="L15" s="15" t="str">
        <x:v>DigiKey invoice 128543474; unit price with proportional tariff, shipping, and tax</x:v>
      </x:c>
    </x:row>
    <x:row r="16" ht="26.399999618530273" hidden="0" customHeight="1">
      <x:c r="A16" s="16" t="n">
        <x:v>10</x:v>
      </x:c>
      <x:c r="B16" s="15" t="str">
        <x:v>Passives</x:v>
      </x:c>
      <x:c r="C16" s="15" t="str">
        <x:v>COUT2</x:v>
      </x:c>
      <x:c r="D16" s="16" t="n">
        <x:v>1</x:v>
      </x:c>
      <x:c r="E16" s="15" t="str">
        <x:v>22 µF ceramic capacitor</x:v>
      </x:c>
      <x:c r="F16" s="15" t="str">
        <x:v>25 V, X7S, radial</x:v>
      </x:c>
      <x:c r="G16" s="15" t="str">
        <x:v>Murata Electronics</x:v>
      </x:c>
      <x:c r="H16" s="15" t="str">
        <x:v>RDEC71E226K3P1H03B</x:v>
      </x:c>
      <x:c r="I16" s="19" t="n">
        <x:v>1.9744041450777203</x:v>
      </x:c>
      <x:c r="J16" s="20" t="n">
        <x:f>IF(I16="","",D16*I16)</x:f>
        <x:v>1.9744041450777203</x:v>
      </x:c>
      <x:c r="K16" s="15" t="str">
        <x:v>Known</x:v>
      </x:c>
      <x:c r="L16" s="15" t="str">
        <x:v>DigiKey invoice 128543474; unit price with proportional tariff, shipping, and tax</x:v>
      </x:c>
    </x:row>
    <x:row r="17" ht="26.399999618530273" hidden="0" customHeight="1">
      <x:c r="A17" s="16" t="n">
        <x:v>11</x:v>
      </x:c>
      <x:c r="B17" s="15" t="str">
        <x:v>Power conversion</x:v>
      </x:c>
      <x:c r="C17" s="15" t="str">
        <x:v>D1</x:v>
      </x:c>
      <x:c r="D17" s="16" t="n">
        <x:v>1</x:v>
      </x:c>
      <x:c r="E17" s="15" t="str">
        <x:v>STPS5L60 Schottky rectifier</x:v>
      </x:c>
      <x:c r="F17" s="15" t="str">
        <x:v>60 V, 5 A, DO-201AD</x:v>
      </x:c>
      <x:c r="G17" s="15" t="str">
        <x:v>STMicroelectronics</x:v>
      </x:c>
      <x:c r="H17" s="15" t="str">
        <x:v>STPS5L60</x:v>
      </x:c>
      <x:c r="I17" s="19" t="n">
        <x:v>1.149481865284974</x:v>
      </x:c>
      <x:c r="J17" s="20" t="n">
        <x:f>IF(I17="","",D17*I17)</x:f>
        <x:v>1.149481865284974</x:v>
      </x:c>
      <x:c r="K17" s="15" t="str">
        <x:v>Known</x:v>
      </x:c>
      <x:c r="L17" s="15" t="str">
        <x:v>DigiKey invoice 128543474; unit price with proportional tariff, shipping, and tax</x:v>
      </x:c>
    </x:row>
    <x:row r="18" ht="26.399999618530273" hidden="0" customHeight="1">
      <x:c r="A18" s="16" t="n">
        <x:v>12</x:v>
      </x:c>
      <x:c r="B18" s="15" t="str">
        <x:v>Power conversion</x:v>
      </x:c>
      <x:c r="C18" s="15" t="str">
        <x:v>D2</x:v>
      </x:c>
      <x:c r="D18" s="16" t="n">
        <x:v>1</x:v>
      </x:c>
      <x:c r="E18" s="15" t="str">
        <x:v>1N5819-T Schottky diode</x:v>
      </x:c>
      <x:c r="F18" s="15" t="str">
        <x:v>40 V, 1 A, DO-41; bootstrap diode</x:v>
      </x:c>
      <x:c r="G18" s="15" t="str">
        <x:v>Diodes Incorporated</x:v>
      </x:c>
      <x:c r="H18" s="15" t="str">
        <x:v>1N5819-T</x:v>
      </x:c>
      <x:c r="I18" s="19" t="n">
        <x:v>0.7437823834196893</x:v>
      </x:c>
      <x:c r="J18" s="20" t="n">
        <x:f>IF(I18="","",D18*I18)</x:f>
        <x:v>0.7437823834196893</x:v>
      </x:c>
      <x:c r="K18" s="15" t="str">
        <x:v>Known</x:v>
      </x:c>
      <x:c r="L18" s="15" t="str">
        <x:v>DigiKey invoice 128543474; unit price with proportional tariff, shipping, and tax</x:v>
      </x:c>
    </x:row>
    <x:row r="19" ht="39.599998474121094" hidden="0" customHeight="1">
      <x:c r="A19" s="16" t="n">
        <x:v>13</x:v>
      </x:c>
      <x:c r="B19" s="15" t="str">
        <x:v>Interconnect and protection</x:v>
      </x:c>
      <x:c r="C19" s="15" t="str">
        <x:v>D3</x:v>
      </x:c>
      <x:c r="D19" s="16" t="n">
        <x:v>1</x:v>
      </x:c>
      <x:c r="E19" s="15" t="str">
        <x:v>1.5KE16A TVS diode</x:v>
      </x:c>
      <x:c r="F19" s="15" t="str">
        <x:v>Unidirectional, 13.6 V standoff, 1500 W</x:v>
      </x:c>
      <x:c r="G19" s="15" t="str">
        <x:v>Littelfuse</x:v>
      </x:c>
      <x:c r="H19" s="15" t="str">
        <x:v>1.5KE16A</x:v>
      </x:c>
      <x:c r="I19" s="19" t="n">
        <x:v>1.433471502590674</x:v>
      </x:c>
      <x:c r="J19" s="20" t="n">
        <x:f>IF(I19="","",D19*I19)</x:f>
        <x:v>1.433471502590674</x:v>
      </x:c>
      <x:c r="K19" s="15" t="str">
        <x:v>Known</x:v>
      </x:c>
      <x:c r="L19" s="15" t="str">
        <x:v>Purchased part; Altium value was listed as 1.5KE16AG. DigiKey invoice 128543474; unit price with proportional tariff, shipping, and tax</x:v>
      </x:c>
    </x:row>
    <x:row r="20" ht="26.399999618530273" hidden="0" customHeight="1">
      <x:c r="A20" s="16" t="n">
        <x:v>14</x:v>
      </x:c>
      <x:c r="B20" s="15" t="str">
        <x:v>Control and sensing</x:v>
      </x:c>
      <x:c r="C20" s="15" t="str">
        <x:v>D4</x:v>
      </x:c>
      <x:c r="D20" s="16" t="n">
        <x:v>1</x:v>
      </x:c>
      <x:c r="E20" s="15" t="str">
        <x:v>1N4148 switching diode</x:v>
      </x:c>
      <x:c r="F20" s="15" t="str">
        <x:v>100 V, 200 mA, DO-35</x:v>
      </x:c>
      <x:c r="G20" s="15" t="str">
        <x:v>onsemi</x:v>
      </x:c>
      <x:c r="H20" s="15" t="str">
        <x:v>1N4148</x:v>
      </x:c>
      <x:c r="I20" s="19" t="n">
        <x:v>0.1352331606217617</x:v>
      </x:c>
      <x:c r="J20" s="20" t="n">
        <x:f>IF(I20="","",D20*I20)</x:f>
        <x:v>0.1352331606217617</x:v>
      </x:c>
      <x:c r="K20" s="15" t="str">
        <x:v>Known</x:v>
      </x:c>
      <x:c r="L20" s="15" t="str">
        <x:v>DigiKey invoice 128543474; unit price with proportional tariff, shipping, and tax</x:v>
      </x:c>
    </x:row>
    <x:row r="21" ht="26.399999618530273" hidden="0" customHeight="1">
      <x:c r="A21" s="16" t="n">
        <x:v>15</x:v>
      </x:c>
      <x:c r="B21" s="15" t="str">
        <x:v>Interconnect and protection</x:v>
      </x:c>
      <x:c r="C21" s="15" t="str">
        <x:v>ENABLE, OLED</x:v>
      </x:c>
      <x:c r="D21" s="16" t="n">
        <x:v>2</x:v>
      </x:c>
      <x:c r="E21" s="15" t="str">
        <x:v>4-position JST-XH headers</x:v>
      </x:c>
      <x:c r="F21" s="15" t="str">
        <x:v>Vertical, 2.50 mm pitch</x:v>
      </x:c>
      <x:c r="G21" s="15" t="str">
        <x:v>JST</x:v>
      </x:c>
      <x:c r="H21" s="15" t="str">
        <x:v>B4B-XH-AM(LF)(SN)</x:v>
      </x:c>
      <x:c r="I21" s="19"/>
      <x:c r="J21" s="20" t="str">
        <x:f>IF(I21="","",D21*I21)</x:f>
      </x:c>
      <x:c r="K21" s="15" t="str">
        <x:v>Included in connector-set cost</x:v>
      </x:c>
      <x:c r="L21" s="15" t="str">
        <x:v>Cost included in the $1.50 miscellaneous connector set on Off-board BOM</x:v>
      </x:c>
    </x:row>
    <x:row r="22" ht="26.399999618530273" hidden="0" customHeight="1">
      <x:c r="A22" s="16" t="n">
        <x:v>16</x:v>
      </x:c>
      <x:c r="B22" s="15" t="str">
        <x:v>Interconnect and protection</x:v>
      </x:c>
      <x:c r="C22" s="15" t="str">
        <x:v>F1 holder</x:v>
      </x:c>
      <x:c r="D22" s="16" t="n">
        <x:v>1</x:v>
      </x:c>
      <x:c r="E22" s="15" t="str">
        <x:v>PCB blade-fuse holder</x:v>
      </x:c>
      <x:c r="F22" s="15" t="str">
        <x:v>ATO/ATC style, through-hole</x:v>
      </x:c>
      <x:c r="G22" s="15" t="str">
        <x:v>Keystone Electronics</x:v>
      </x:c>
      <x:c r="H22" s="15" t="str">
        <x:v>3568</x:v>
      </x:c>
      <x:c r="I22" s="19" t="n">
        <x:v>1.5822279792746115</x:v>
      </x:c>
      <x:c r="J22" s="20" t="n">
        <x:f>IF(I22="","",D22*I22)</x:f>
        <x:v>1.5822279792746115</x:v>
      </x:c>
      <x:c r="K22" s="15" t="str">
        <x:v>Known</x:v>
      </x:c>
      <x:c r="L22" s="15" t="str">
        <x:v>DigiKey invoice 128543474; unit price with proportional tariff, shipping, and tax</x:v>
      </x:c>
    </x:row>
    <x:row r="23" ht="26.399999618530273" hidden="0" customHeight="1">
      <x:c r="A23" s="16" t="n">
        <x:v>17</x:v>
      </x:c>
      <x:c r="B23" s="15" t="str">
        <x:v>Interconnect and protection</x:v>
      </x:c>
      <x:c r="C23" s="15" t="str">
        <x:v>F1 fuse</x:v>
      </x:c>
      <x:c r="D23" s="16" t="n">
        <x:v>1</x:v>
      </x:c>
      <x:c r="E23" s="15" t="str">
        <x:v>5 A automotive blade fuse</x:v>
      </x:c>
      <x:c r="F23" s="15" t="str">
        <x:v>32 VDC, ATO/ATC</x:v>
      </x:c>
      <x:c r="G23" s="15" t="str">
        <x:v>Littelfuse</x:v>
      </x:c>
      <x:c r="H23" s="15" t="str">
        <x:v>0287005.PXCN</x:v>
      </x:c>
      <x:c r="I23" s="19" t="n">
        <x:v>0.486839378238342</x:v>
      </x:c>
      <x:c r="J23" s="20" t="n">
        <x:f>IF(I23="","",D23*I23)</x:f>
        <x:v>0.486839378238342</x:v>
      </x:c>
      <x:c r="K23" s="15" t="str">
        <x:v>Known</x:v>
      </x:c>
      <x:c r="L23" s="15" t="str">
        <x:v>DigiKey invoice 128543474; unit price with proportional tariff, shipping, and tax</x:v>
      </x:c>
    </x:row>
    <x:row r="24" ht="26.399999618530273" hidden="0" customHeight="1">
      <x:c r="A24" s="16" t="n">
        <x:v>18</x:v>
      </x:c>
      <x:c r="B24" s="15" t="str">
        <x:v>Control and sensing</x:v>
      </x:c>
      <x:c r="C24" s="15" t="str">
        <x:v>IC1</x:v>
      </x:c>
      <x:c r="D24" s="16" t="n">
        <x:v>1</x:v>
      </x:c>
      <x:c r="E24" s="15" t="str">
        <x:v>3.3 V DC-DC regulator</x:v>
      </x:c>
      <x:c r="F24" s="15" t="str">
        <x:v>5 W, 1.5 A, through-hole switching regulator</x:v>
      </x:c>
      <x:c r="G24" s="15" t="str">
        <x:v>Murata Power Solutions</x:v>
      </x:c>
      <x:c r="H24" s="15" t="str">
        <x:v>OKI-78SR-3.3/1.5-W36-C</x:v>
      </x:c>
      <x:c r="I24" s="19" t="n">
        <x:v>7.65419689119171</x:v>
      </x:c>
      <x:c r="J24" s="20" t="n">
        <x:f>IF(I24="","",D24*I24)</x:f>
        <x:v>7.65419689119171</x:v>
      </x:c>
      <x:c r="K24" s="15" t="str">
        <x:v>Known</x:v>
      </x:c>
      <x:c r="L24" s="15" t="str">
        <x:v>DigiKey invoice 128543474; unit price with proportional tariff, shipping, and tax</x:v>
      </x:c>
    </x:row>
    <x:row r="25" ht="26.399999618530273" hidden="0" customHeight="1">
      <x:c r="A25" s="16" t="n">
        <x:v>19</x:v>
      </x:c>
      <x:c r="B25" s="15" t="str">
        <x:v>Interconnect and protection</x:v>
      </x:c>
      <x:c r="C25" s="15" t="str">
        <x:v>J1</x:v>
      </x:c>
      <x:c r="D25" s="16" t="n">
        <x:v>1</x:v>
      </x:c>
      <x:c r="E25" s="15" t="str">
        <x:v>PCB-mount XT60 connector</x:v>
      </x:c>
      <x:c r="F25" s="15" t="str">
        <x:v>Right-angle male battery connector</x:v>
      </x:c>
      <x:c r="G25" s="15" t="str">
        <x:v>AMASS</x:v>
      </x:c>
      <x:c r="H25" s="15" t="str">
        <x:v>XT60PW-M</x:v>
      </x:c>
      <x:c r="I25" s="19"/>
      <x:c r="J25" s="20" t="str">
        <x:f>IF(I25="","",D25*I25)</x:f>
      </x:c>
      <x:c r="K25" s="15" t="str">
        <x:v>Included in connector-set cost</x:v>
      </x:c>
      <x:c r="L25" s="15" t="str">
        <x:v>Cost included in the $1.50 miscellaneous connector set on Off-board BOM</x:v>
      </x:c>
    </x:row>
    <x:row r="26" ht="26.399999618530273" hidden="0" customHeight="1">
      <x:c r="A26" s="16" t="n">
        <x:v>20</x:v>
      </x:c>
      <x:c r="B26" s="15" t="str">
        <x:v>Interconnect and protection</x:v>
      </x:c>
      <x:c r="C26" s="15" t="str">
        <x:v>J2</x:v>
      </x:c>
      <x:c r="D26" s="16" t="n">
        <x:v>1</x:v>
      </x:c>
      <x:c r="E26" s="15" t="str">
        <x:v>2-position output terminal block</x:v>
      </x:c>
      <x:c r="F26" s="15" t="str">
        <x:v>6.35 mm pitch, through-hole</x:v>
      </x:c>
      <x:c r="G26" s="15" t="str">
        <x:v>Phoenix Contact</x:v>
      </x:c>
      <x:c r="H26" s="15" t="str">
        <x:v>1714955</x:v>
      </x:c>
      <x:c r="I26" s="19"/>
      <x:c r="J26" s="20" t="str">
        <x:f>IF(I26="","",D26*I26)</x:f>
      </x:c>
      <x:c r="K26" s="15" t="str">
        <x:v>Included in connector-set cost</x:v>
      </x:c>
      <x:c r="L26" s="15" t="str">
        <x:v>Cost included in the $1.50 miscellaneous connector set on Off-board BOM</x:v>
      </x:c>
    </x:row>
    <x:row r="27" ht="26.399999618530273" hidden="0" customHeight="1">
      <x:c r="A27" s="16" t="n">
        <x:v>21</x:v>
      </x:c>
      <x:c r="B27" s="15" t="str">
        <x:v>Interconnect and protection</x:v>
      </x:c>
      <x:c r="C27" s="15" t="str">
        <x:v>J3, J4</x:v>
      </x:c>
      <x:c r="D27" s="16" t="n">
        <x:v>2</x:v>
      </x:c>
      <x:c r="E27" s="15" t="str">
        <x:v>4-position JST-XH balance headers</x:v>
      </x:c>
      <x:c r="F27" s="15" t="str">
        <x:v>Vertical, 2.50 mm pitch</x:v>
      </x:c>
      <x:c r="G27" s="15" t="str">
        <x:v>JST</x:v>
      </x:c>
      <x:c r="H27" s="15" t="str">
        <x:v>B4B-XH-A</x:v>
      </x:c>
      <x:c r="I27" s="19" t="n">
        <x:v>0.22989637305699487</x:v>
      </x:c>
      <x:c r="J27" s="20" t="n">
        <x:f>IF(I27="","",D27*I27)</x:f>
        <x:v>0.45979274611398974</x:v>
      </x:c>
      <x:c r="K27" s="15" t="str">
        <x:v>Known</x:v>
      </x:c>
      <x:c r="L27" s="15" t="str">
        <x:v>DigiKey invoice 128543474; unit price with proportional tariff, shipping, and tax</x:v>
      </x:c>
    </x:row>
    <x:row r="28" ht="26.399999618530273" hidden="0" customHeight="1">
      <x:c r="A28" s="16" t="n">
        <x:v>22</x:v>
      </x:c>
      <x:c r="B28" s="15" t="str">
        <x:v>Interconnect and protection</x:v>
      </x:c>
      <x:c r="C28" s="15" t="str">
        <x:v>J5, J6</x:v>
      </x:c>
      <x:c r="D28" s="16" t="n">
        <x:v>2</x:v>
      </x:c>
      <x:c r="E28" s="15" t="str">
        <x:v>4-position selector-interface headers</x:v>
      </x:c>
      <x:c r="F28" s="15" t="str">
        <x:v>CK1027 pole wiring interfaces, 2.50 mm pitch</x:v>
      </x:c>
      <x:c r="G28" s="15" t="str">
        <x:v>JST</x:v>
      </x:c>
      <x:c r="H28" s="15" t="str">
        <x:v>B4B-XH-AM(LF)(SN)</x:v>
      </x:c>
      <x:c r="I28" s="19"/>
      <x:c r="J28" s="20" t="str">
        <x:f>IF(I28="","",D28*I28)</x:f>
      </x:c>
      <x:c r="K28" s="15" t="str">
        <x:v>Included in connector-set cost</x:v>
      </x:c>
      <x:c r="L28" s="15" t="str">
        <x:v>These are PCB wiring headers, not two additional rotary switches; cost included in connector set</x:v>
      </x:c>
    </x:row>
    <x:row r="29" ht="26.399999618530273" hidden="0" customHeight="1">
      <x:c r="A29" s="16" t="n">
        <x:v>23</x:v>
      </x:c>
      <x:c r="B29" s="15" t="str">
        <x:v>Control and sensing</x:v>
      </x:c>
      <x:c r="C29" s="15" t="str">
        <x:v>J_ADC1, J_ADC2</x:v>
      </x:c>
      <x:c r="D29" s="16" t="n">
        <x:v>2</x:v>
      </x:c>
      <x:c r="E29" s="15" t="str">
        <x:v>ADS1115 ADC modules</x:v>
      </x:c>
      <x:c r="F29" s="15" t="str">
        <x:v>16-bit, four-channel I2C ADC breakout modules</x:v>
      </x:c>
      <x:c r="G29" s="15" t="str">
        <x:v>HiLetgo</x:v>
      </x:c>
      <x:c r="H29" s="15" t="str">
        <x:v>ADS1115 module</x:v>
      </x:c>
      <x:c r="I29" s="19" t="n">
        <x:v>3.9633333333333334</x:v>
      </x:c>
      <x:c r="J29" s="20" t="n">
        <x:f>IF(I29="","",D29*I29)</x:f>
        <x:v>7.926666666666667</x:v>
      </x:c>
      <x:c r="K29" s="15" t="str">
        <x:v>Known</x:v>
      </x:c>
      <x:c r="L29" s="15" t="str">
        <x:v>Two modules used from a three-module purchase; only the installed share is allocated</x:v>
      </x:c>
    </x:row>
    <x:row r="30" ht="26.399999618530273" hidden="0" customHeight="1">
      <x:c r="A30" s="16" t="n">
        <x:v>24</x:v>
      </x:c>
      <x:c r="B30" s="15" t="str">
        <x:v>Interconnect and protection</x:v>
      </x:c>
      <x:c r="C30" s="15" t="str">
        <x:v>J_PROG</x:v>
      </x:c>
      <x:c r="D30" s="16" t="n">
        <x:v>1</x:v>
      </x:c>
      <x:c r="E30" s="15" t="str">
        <x:v>4-pin programming header</x:v>
      </x:c>
      <x:c r="F30" s="15" t="str">
        <x:v>2.54 mm pitch, vertical</x:v>
      </x:c>
      <x:c r="G30" s="15" t="str">
        <x:v>Würth Elektronik</x:v>
      </x:c>
      <x:c r="H30" s="15" t="str">
        <x:v>61300411121</x:v>
      </x:c>
      <x:c r="I30" s="19"/>
      <x:c r="J30" s="20" t="str">
        <x:f>IF(I30="","",D30*I30)</x:f>
      </x:c>
      <x:c r="K30" s="15" t="str">
        <x:v>Included in connector-set cost</x:v>
      </x:c>
      <x:c r="L30" s="15" t="str">
        <x:v>Cost included in the $1.50 miscellaneous connector set on Off-board BOM</x:v>
      </x:c>
    </x:row>
    <x:row r="31" ht="26.399999618530273" hidden="0" customHeight="1">
      <x:c r="A31" s="16" t="n">
        <x:v>25</x:v>
      </x:c>
      <x:c r="B31" s="15" t="str">
        <x:v>Control and sensing</x:v>
      </x:c>
      <x:c r="C31" s="15" t="str">
        <x:v>K1, K2</x:v>
      </x:c>
      <x:c r="D31" s="16" t="n">
        <x:v>2</x:v>
      </x:c>
      <x:c r="E31" s="15" t="str">
        <x:v>TQ2-3V DPDT relays</x:v>
      </x:c>
      <x:c r="F31" s="15" t="str">
        <x:v>3 V coil, 2 Form C</x:v>
      </x:c>
      <x:c r="G31" s="15" t="str">
        <x:v>Panasonic Industry</x:v>
      </x:c>
      <x:c r="H31" s="15" t="str">
        <x:v>TQ2-3V</x:v>
      </x:c>
      <x:c r="I31" s="19" t="n">
        <x:v>5.0725</x:v>
      </x:c>
      <x:c r="J31" s="20" t="n">
        <x:f>IF(I31="","",D31*I31)</x:f>
        <x:v>10.145</x:v>
      </x:c>
      <x:c r="K31" s="15" t="str">
        <x:v>Known</x:v>
      </x:c>
      <x:c r="L31" s="15" t="str">
        <x:v>DigiKey invoice 129154402; two of four relays allocated to this unit</x:v>
      </x:c>
    </x:row>
    <x:row r="32" ht="26.399999618530273" hidden="0" customHeight="1">
      <x:c r="A32" s="16" t="n">
        <x:v>26</x:v>
      </x:c>
      <x:c r="B32" s="15" t="str">
        <x:v>Power conversion</x:v>
      </x:c>
      <x:c r="C32" s="15" t="str">
        <x:v>L1</x:v>
      </x:c>
      <x:c r="D32" s="16" t="n">
        <x:v>1</x:v>
      </x:c>
      <x:c r="E32" s="15" t="str">
        <x:v>68 µH power inductor</x:v>
      </x:c>
      <x:c r="F32" s="15" t="str">
        <x:v>2.9 A rated, 80 mΩ, unshielded, through-hole</x:v>
      </x:c>
      <x:c r="G32" s="15" t="str">
        <x:v>Würth Elektronik</x:v>
      </x:c>
      <x:c r="H32" s="15" t="str">
        <x:v>7447480680</x:v>
      </x:c>
      <x:c r="I32" s="19" t="n">
        <x:v>2.2448704663212435</x:v>
      </x:c>
      <x:c r="J32" s="20" t="n">
        <x:f>IF(I32="","",D32*I32)</x:f>
        <x:v>2.2448704663212435</x:v>
      </x:c>
      <x:c r="K32" s="15" t="str">
        <x:v>Known</x:v>
      </x:c>
      <x:c r="L32" s="15" t="str">
        <x:v>DigiKey invoice 128543474; unit price with proportional tariff, shipping, and tax</x:v>
      </x:c>
    </x:row>
    <x:row r="33" ht="26.399999618530273" hidden="0" customHeight="1">
      <x:c r="A33" s="16" t="n">
        <x:v>27</x:v>
      </x:c>
      <x:c r="B33" s="15" t="str">
        <x:v>Power conversion</x:v>
      </x:c>
      <x:c r="C33" s="15" t="str">
        <x:v>Q1</x:v>
      </x:c>
      <x:c r="D33" s="16" t="n">
        <x:v>1</x:v>
      </x:c>
      <x:c r="E33" s="15" t="str">
        <x:v>N-channel power MOSFET</x:v>
      </x:c>
      <x:c r="F33" s="15" t="str">
        <x:v>60 V, 37.2 A, 12 mΩ, TO-220AB</x:v>
      </x:c>
      <x:c r="G33" s="15" t="str">
        <x:v>Diodes Incorporated</x:v>
      </x:c>
      <x:c r="H33" s="15" t="str">
        <x:v>DMT6009LCT</x:v>
      </x:c>
      <x:c r="I33" s="19" t="n">
        <x:v>2.0555440414507773</x:v>
      </x:c>
      <x:c r="J33" s="20" t="n">
        <x:f>IF(I33="","",D33*I33)</x:f>
        <x:v>2.0555440414507773</x:v>
      </x:c>
      <x:c r="K33" s="15" t="str">
        <x:v>Known</x:v>
      </x:c>
      <x:c r="L33" s="15" t="str">
        <x:v>DigiKey invoice 128543474; unit price with proportional tariff, shipping, and tax</x:v>
      </x:c>
    </x:row>
    <x:row r="34" ht="26.399999618530273" hidden="0" customHeight="1">
      <x:c r="A34" s="16" t="n">
        <x:v>28</x:v>
      </x:c>
      <x:c r="B34" s="15" t="str">
        <x:v>Control and sensing</x:v>
      </x:c>
      <x:c r="C34" s="15" t="str">
        <x:v>Q2, Q3</x:v>
      </x:c>
      <x:c r="D34" s="16" t="n">
        <x:v>2</x:v>
      </x:c>
      <x:c r="E34" s="15" t="str">
        <x:v>2N3904 NPN transistors</x:v>
      </x:c>
      <x:c r="F34" s="15" t="str">
        <x:v>40 V, 200 mA, TO-92</x:v>
      </x:c>
      <x:c r="G34" s="15" t="str">
        <x:v>onsemi</x:v>
      </x:c>
      <x:c r="H34" s="15" t="str">
        <x:v>2N3904BU</x:v>
      </x:c>
      <x:c r="I34" s="19" t="n">
        <x:v>0.3786528497409327</x:v>
      </x:c>
      <x:c r="J34" s="20" t="n">
        <x:f>IF(I34="","",D34*I34)</x:f>
        <x:v>0.7573056994818654</x:v>
      </x:c>
      <x:c r="K34" s="15" t="str">
        <x:v>Known</x:v>
      </x:c>
      <x:c r="L34" s="15" t="str">
        <x:v>DigiKey invoice 128543474; unit price with proportional tariff, shipping, and tax</x:v>
      </x:c>
    </x:row>
    <x:row r="35" ht="26.399999618530273" hidden="0" customHeight="1">
      <x:c r="A35" s="16" t="n">
        <x:v>29</x:v>
      </x:c>
      <x:c r="B35" s="15" t="str">
        <x:v>Control and sensing</x:v>
      </x:c>
      <x:c r="C35" s="15" t="str">
        <x:v>Q4</x:v>
      </x:c>
      <x:c r="D35" s="16" t="n">
        <x:v>1</x:v>
      </x:c>
      <x:c r="E35" s="15" t="str">
        <x:v>2N2222A NPN transistor</x:v>
      </x:c>
      <x:c r="F35" s="15" t="str">
        <x:v>50 V, 800 mA, TO-18</x:v>
      </x:c>
      <x:c r="G35" s="15" t="str">
        <x:v>Microchip Technology</x:v>
      </x:c>
      <x:c r="H35" s="15" t="str">
        <x:v>2N2222A</x:v>
      </x:c>
      <x:c r="I35" s="19" t="n">
        <x:v>3.9217616580310883</x:v>
      </x:c>
      <x:c r="J35" s="20" t="n">
        <x:f>IF(I35="","",D35*I35)</x:f>
        <x:v>3.9217616580310883</x:v>
      </x:c>
      <x:c r="K35" s="15" t="str">
        <x:v>Known</x:v>
      </x:c>
      <x:c r="L35" s="15" t="str">
        <x:v>DigiKey invoice 128543474; unit price with proportional tariff, shipping, and tax</x:v>
      </x:c>
    </x:row>
    <x:row r="36" ht="39.599998474121094" hidden="0" customHeight="1">
      <x:c r="A36" s="16" t="n">
        <x:v>30</x:v>
      </x:c>
      <x:c r="B36" s="15" t="str">
        <x:v>Passives</x:v>
      </x:c>
      <x:c r="C36" s="15" t="str">
        <x:v>R1, R2, R3, R4, R6, R16, R17, R19, R27, R38, R44, R_BOT</x:v>
      </x:c>
      <x:c r="D36" s="16" t="n">
        <x:v>12</x:v>
      </x:c>
      <x:c r="E36" s="15" t="str">
        <x:v>10 kΩ resistors</x:v>
      </x:c>
      <x:c r="F36" s="15" t="str">
        <x:v>1%, 1/4 W, axial</x:v>
      </x:c>
      <x:c r="G36" s="15" t="str">
        <x:v>Yageo</x:v>
      </x:c>
      <x:c r="H36" s="15" t="str">
        <x:v>MFR-25FRF52-10K</x:v>
      </x:c>
      <x:c r="I36" s="19" t="n">
        <x:v>0.05679792746113991</x:v>
      </x:c>
      <x:c r="J36" s="20" t="n">
        <x:f>IF(I36="","",D36*I36)</x:f>
        <x:v>0.6815751295336789</x:v>
      </x:c>
      <x:c r="K36" s="15" t="str">
        <x:v>Known</x:v>
      </x:c>
      <x:c r="L36" s="15" t="str">
        <x:v>Twelve installed; invoice unit price used as the allocation basis. DigiKey invoice 128543474; unit price with proportional tariff, shipping, and tax</x:v>
      </x:c>
    </x:row>
    <x:row r="37" ht="26.399999618530273" hidden="0" customHeight="1">
      <x:c r="A37" s="16" t="n">
        <x:v>31</x:v>
      </x:c>
      <x:c r="B37" s="15" t="str">
        <x:v>Passives</x:v>
      </x:c>
      <x:c r="C37" s="15" t="str">
        <x:v>R5</x:v>
      </x:c>
      <x:c r="D37" s="16" t="n">
        <x:v>1</x:v>
      </x:c>
      <x:c r="E37" s="15" t="str">
        <x:v>3.32 kΩ resistor</x:v>
      </x:c>
      <x:c r="F37" s="15" t="str">
        <x:v>1%, 1/4 W, axial</x:v>
      </x:c>
      <x:c r="G37" s="15" t="str">
        <x:v>Stackpole Electronics</x:v>
      </x:c>
      <x:c r="H37" s="15" t="str">
        <x:v>RNF14FTD3K32</x:v>
      </x:c>
      <x:c r="I37" s="19" t="n">
        <x:v>0.1352331606217617</x:v>
      </x:c>
      <x:c r="J37" s="20" t="n">
        <x:f>IF(I37="","",D37*I37)</x:f>
        <x:v>0.1352331606217617</x:v>
      </x:c>
      <x:c r="K37" s="15" t="str">
        <x:v>Known</x:v>
      </x:c>
      <x:c r="L37" s="15" t="str">
        <x:v>DigiKey invoice 128543474; unit price with proportional tariff, shipping, and tax</x:v>
      </x:c>
    </x:row>
    <x:row r="38" ht="26.399999618530273" hidden="0" customHeight="1">
      <x:c r="A38" s="16" t="n">
        <x:v>32</x:v>
      </x:c>
      <x:c r="B38" s="15" t="str">
        <x:v>Passives</x:v>
      </x:c>
      <x:c r="C38" s="15" t="str">
        <x:v>R7</x:v>
      </x:c>
      <x:c r="D38" s="16" t="n">
        <x:v>1</x:v>
      </x:c>
      <x:c r="E38" s="15" t="str">
        <x:v>26.1 kΩ resistor</x:v>
      </x:c>
      <x:c r="F38" s="15" t="str">
        <x:v>1%, 1/4 W, axial</x:v>
      </x:c>
      <x:c r="G38" s="15" t="str">
        <x:v>Yageo</x:v>
      </x:c>
      <x:c r="H38" s="15" t="str">
        <x:v>MFR-25FRF52-26K1</x:v>
      </x:c>
      <x:c r="I38" s="19" t="n">
        <x:v>0.1352331606217617</x:v>
      </x:c>
      <x:c r="J38" s="20" t="n">
        <x:f>IF(I38="","",D38*I38)</x:f>
        <x:v>0.1352331606217617</x:v>
      </x:c>
      <x:c r="K38" s="15" t="str">
        <x:v>Known</x:v>
      </x:c>
      <x:c r="L38" s="15" t="str">
        <x:v>DigiKey invoice 128543474; unit price with proportional tariff, shipping, and tax</x:v>
      </x:c>
    </x:row>
    <x:row r="39" ht="26.399999618530273" hidden="0" customHeight="1">
      <x:c r="A39" s="16" t="n">
        <x:v>33</x:v>
      </x:c>
      <x:c r="B39" s="15" t="str">
        <x:v>Passives</x:v>
      </x:c>
      <x:c r="C39" s="15" t="str">
        <x:v>R8</x:v>
      </x:c>
      <x:c r="D39" s="16" t="n">
        <x:v>1</x:v>
      </x:c>
      <x:c r="E39" s="15" t="str">
        <x:v>22 Ω resistor</x:v>
      </x:c>
      <x:c r="F39" s="15" t="str">
        <x:v>1%, 0.6 W, axial</x:v>
      </x:c>
      <x:c r="G39" s="15" t="str">
        <x:v>Yageo</x:v>
      </x:c>
      <x:c r="H39" s="15" t="str">
        <x:v>MF0207FTE52-22R</x:v>
      </x:c>
      <x:c r="I39" s="19" t="n">
        <x:v>0.1352331606217617</x:v>
      </x:c>
      <x:c r="J39" s="20" t="n">
        <x:f>IF(I39="","",D39*I39)</x:f>
        <x:v>0.1352331606217617</x:v>
      </x:c>
      <x:c r="K39" s="15" t="str">
        <x:v>Known</x:v>
      </x:c>
      <x:c r="L39" s="15" t="str">
        <x:v>DigiKey invoice 128543474; unit price with proportional tariff, shipping, and tax</x:v>
      </x:c>
    </x:row>
    <x:row r="40" ht="26.399999618530273" hidden="0" customHeight="1">
      <x:c r="A40" s="16" t="n">
        <x:v>34</x:v>
      </x:c>
      <x:c r="B40" s="15" t="str">
        <x:v>Passives</x:v>
      </x:c>
      <x:c r="C40" s="15" t="str">
        <x:v>R9, R10, R11, R20, R28, R32, R33, R35</x:v>
      </x:c>
      <x:c r="D40" s="16" t="n">
        <x:v>8</x:v>
      </x:c>
      <x:c r="E40" s="15" t="str">
        <x:v>100 kΩ resistors</x:v>
      </x:c>
      <x:c r="F40" s="15" t="str">
        <x:v>1%, 1/4 W, axial</x:v>
      </x:c>
      <x:c r="G40" s="15" t="str">
        <x:v>Stackpole Electronics</x:v>
      </x:c>
      <x:c r="H40" s="15" t="str">
        <x:v>RNF14FTD100K</x:v>
      </x:c>
      <x:c r="I40" s="19" t="n">
        <x:v>0.04976580310880829</x:v>
      </x:c>
      <x:c r="J40" s="20" t="n">
        <x:f>IF(I40="","",D40*I40)</x:f>
        <x:v>0.39812642487046634</x:v>
      </x:c>
      <x:c r="K40" s="15" t="str">
        <x:v>Known</x:v>
      </x:c>
      <x:c r="L40" s="15" t="str">
        <x:v>DigiKey invoice 128543474; unit price with proportional tariff, shipping, and tax</x:v>
      </x:c>
    </x:row>
    <x:row r="41" ht="39.599998474121094" hidden="0" customHeight="1">
      <x:c r="A41" s="16" t="n">
        <x:v>35</x:v>
      </x:c>
      <x:c r="B41" s="15" t="str">
        <x:v>Passives</x:v>
      </x:c>
      <x:c r="C41" s="15" t="str">
        <x:v>R12</x:v>
      </x:c>
      <x:c r="D41" s="16" t="n">
        <x:v>1</x:v>
      </x:c>
      <x:c r="E41" s="15" t="str">
        <x:v>0.05 Ω current-shunt resistor</x:v>
      </x:c>
      <x:c r="F41" s="15" t="str">
        <x:v>1%, 3 W, axial</x:v>
      </x:c>
      <x:c r="G41" s="15" t="str">
        <x:v>Stackpole Electronics</x:v>
      </x:c>
      <x:c r="H41" s="15" t="str">
        <x:v>MR3FT50L0</x:v>
      </x:c>
      <x:c r="I41" s="19" t="n">
        <x:v>2.6100000000000003</x:v>
      </x:c>
      <x:c r="J41" s="20" t="n">
        <x:f>IF(I41="","",D41*I41)</x:f>
        <x:v>2.6100000000000003</x:v>
      </x:c>
      <x:c r="K41" s="15" t="str">
        <x:v>Known</x:v>
      </x:c>
      <x:c r="L41" s="15" t="str">
        <x:v>Correct purchased shunt; raw Altium description referenced a different resistor. DigiKey invoice 128543474; unit price with proportional tariff, shipping, and tax</x:v>
      </x:c>
    </x:row>
    <x:row r="42" ht="26.399999618530273" hidden="0" customHeight="1">
      <x:c r="A42" s="16" t="n">
        <x:v>36</x:v>
      </x:c>
      <x:c r="B42" s="15" t="str">
        <x:v>Passives</x:v>
      </x:c>
      <x:c r="C42" s="15" t="str">
        <x:v>R13</x:v>
      </x:c>
      <x:c r="D42" s="16" t="n">
        <x:v>1</x:v>
      </x:c>
      <x:c r="E42" s="15" t="str">
        <x:v>51 kΩ resistor</x:v>
      </x:c>
      <x:c r="F42" s="15" t="str">
        <x:v>1%, 1/4 W, axial</x:v>
      </x:c>
      <x:c r="G42" s="15" t="str">
        <x:v>Yageo</x:v>
      </x:c>
      <x:c r="H42" s="15" t="str">
        <x:v>MFR-25FRF52-51K</x:v>
      </x:c>
      <x:c r="I42" s="19" t="n">
        <x:v>0.1352331606217617</x:v>
      </x:c>
      <x:c r="J42" s="20" t="n">
        <x:f>IF(I42="","",D42*I42)</x:f>
        <x:v>0.1352331606217617</x:v>
      </x:c>
      <x:c r="K42" s="15" t="str">
        <x:v>Known</x:v>
      </x:c>
      <x:c r="L42" s="15" t="str">
        <x:v>DigiKey invoice 128543474; unit price with proportional tariff, shipping, and tax</x:v>
      </x:c>
    </x:row>
    <x:row r="43" ht="39.599998474121094" hidden="0" customHeight="1">
      <x:c r="A43" s="16" t="n">
        <x:v>37</x:v>
      </x:c>
      <x:c r="B43" s="15" t="str">
        <x:v>Passives</x:v>
      </x:c>
      <x:c r="C43" s="15" t="str">
        <x:v>R14</x:v>
      </x:c>
      <x:c r="D43" s="16" t="n">
        <x:v>1</x:v>
      </x:c>
      <x:c r="E43" s="15" t="str">
        <x:v>191 kΩ resistor</x:v>
      </x:c>
      <x:c r="F43" s="15" t="str">
        <x:v>1%, 1/4 W, axial</x:v>
      </x:c>
      <x:c r="G43" s="15" t="str">
        <x:v>Yageo</x:v>
      </x:c>
      <x:c r="H43" s="15" t="str">
        <x:v>MFR-25FBF52-191K</x:v>
      </x:c>
      <x:c r="I43" s="19" t="n">
        <x:v>0.1352331606217617</x:v>
      </x:c>
      <x:c r="J43" s="20" t="n">
        <x:f>IF(I43="","",D43*I43)</x:f>
        <x:v>0.1352331606217617</x:v>
      </x:c>
      <x:c r="K43" s="15" t="str">
        <x:v>Known</x:v>
      </x:c>
      <x:c r="L43" s="15" t="str">
        <x:v>Purchased value used; Altium rounded the value to 190 kΩ. DigiKey invoice 128543474; unit price with proportional tariff, shipping, and tax</x:v>
      </x:c>
    </x:row>
    <x:row r="44" ht="26.399999618530273" hidden="0" customHeight="1">
      <x:c r="A44" s="16" t="n">
        <x:v>38</x:v>
      </x:c>
      <x:c r="B44" s="15" t="str">
        <x:v>Passives</x:v>
      </x:c>
      <x:c r="C44" s="15" t="str">
        <x:v>R15</x:v>
      </x:c>
      <x:c r="D44" s="16" t="n">
        <x:v>1</x:v>
      </x:c>
      <x:c r="E44" s="15" t="str">
        <x:v>30 kΩ resistor</x:v>
      </x:c>
      <x:c r="F44" s="15" t="str">
        <x:v>1%, 0.6 W, axial</x:v>
      </x:c>
      <x:c r="G44" s="15" t="str">
        <x:v>Yageo</x:v>
      </x:c>
      <x:c r="H44" s="15" t="str">
        <x:v>MF0207FTE52-30K</x:v>
      </x:c>
      <x:c r="I44" s="19" t="n">
        <x:v>0.1352331606217617</x:v>
      </x:c>
      <x:c r="J44" s="20" t="n">
        <x:f>IF(I44="","",D44*I44)</x:f>
        <x:v>0.1352331606217617</x:v>
      </x:c>
      <x:c r="K44" s="15" t="str">
        <x:v>Known</x:v>
      </x:c>
      <x:c r="L44" s="15" t="str">
        <x:v>DigiKey invoice 128543474; unit price with proportional tariff, shipping, and tax</x:v>
      </x:c>
    </x:row>
    <x:row r="45" ht="39.599998474121094" hidden="0" customHeight="1">
      <x:c r="A45" s="16" t="n">
        <x:v>39</x:v>
      </x:c>
      <x:c r="B45" s="15" t="str">
        <x:v>Passives</x:v>
      </x:c>
      <x:c r="C45" s="15" t="str">
        <x:v>R18, R41</x:v>
      </x:c>
      <x:c r="D45" s="16" t="n">
        <x:v>2</x:v>
      </x:c>
      <x:c r="E45" s="15" t="str">
        <x:v>47 kΩ resistors</x:v>
      </x:c>
      <x:c r="F45" s="15" t="str">
        <x:v>1%, axial</x:v>
      </x:c>
      <x:c r="G45" s="15" t="str">
        <x:v>Yageo; TE Connectivity</x:v>
      </x:c>
      <x:c r="H45" s="15" t="str">
        <x:v>MFR-12FTF52-47K; LR1F47K</x:v>
      </x:c>
      <x:c r="I45" s="19" t="n">
        <x:v>0.1352331606217617</x:v>
      </x:c>
      <x:c r="J45" s="20" t="n">
        <x:f>IF(I45="","",D45*I45)</x:f>
        <x:v>0.2704663212435234</x:v>
      </x:c>
      <x:c r="K45" s="15" t="str">
        <x:v>Known</x:v>
      </x:c>
      <x:c r="L45" s="15" t="str">
        <x:v>Two installed parts at the same invoice unit price. DigiKey invoice 128543474; unit price with proportional tariff, shipping, and tax</x:v>
      </x:c>
    </x:row>
    <x:row r="46" ht="26.399999618530273" hidden="0" customHeight="1">
      <x:c r="A46" s="16" t="n">
        <x:v>40</x:v>
      </x:c>
      <x:c r="B46" s="15" t="str">
        <x:v>Passives</x:v>
      </x:c>
      <x:c r="C46" s="15" t="str">
        <x:v>R21, R24, R25, R26</x:v>
      </x:c>
      <x:c r="D46" s="16" t="n">
        <x:v>4</x:v>
      </x:c>
      <x:c r="E46" s="15" t="str">
        <x:v>330 kΩ resistors</x:v>
      </x:c>
      <x:c r="F46" s="15" t="str">
        <x:v>1%, 0.6 W, axial</x:v>
      </x:c>
      <x:c r="G46" s="15" t="str">
        <x:v>TE Connectivity</x:v>
      </x:c>
      <x:c r="H46" s="15" t="str">
        <x:v>LR1F330K</x:v>
      </x:c>
      <x:c r="I46" s="19" t="n">
        <x:v>0.055445595854922286</x:v>
      </x:c>
      <x:c r="J46" s="20" t="n">
        <x:f>IF(I46="","",D46*I46)</x:f>
        <x:v>0.22178238341968914</x:v>
      </x:c>
      <x:c r="K46" s="15" t="str">
        <x:v>Known</x:v>
      </x:c>
      <x:c r="L46" s="15" t="str">
        <x:v>DigiKey invoice 128543474; unit price with proportional tariff, shipping, and tax</x:v>
      </x:c>
    </x:row>
    <x:row r="47" ht="26.399999618530273" hidden="0" customHeight="1">
      <x:c r="A47" s="16" t="n">
        <x:v>41</x:v>
      </x:c>
      <x:c r="B47" s="15" t="str">
        <x:v>Passives</x:v>
      </x:c>
      <x:c r="C47" s="15" t="str">
        <x:v>R22</x:v>
      </x:c>
      <x:c r="D47" s="16" t="n">
        <x:v>1</x:v>
      </x:c>
      <x:c r="E47" s="15" t="str">
        <x:v>680 kΩ resistor</x:v>
      </x:c>
      <x:c r="F47" s="15" t="str">
        <x:v>1%, 1/2 W, axial</x:v>
      </x:c>
      <x:c r="G47" s="15" t="str">
        <x:v>Yageo</x:v>
      </x:c>
      <x:c r="H47" s="15" t="str">
        <x:v>MFR50SFTE52-680K</x:v>
      </x:c>
      <x:c r="I47" s="19" t="n">
        <x:v>0.1352331606217617</x:v>
      </x:c>
      <x:c r="J47" s="20" t="n">
        <x:f>IF(I47="","",D47*I47)</x:f>
        <x:v>0.1352331606217617</x:v>
      </x:c>
      <x:c r="K47" s="15" t="str">
        <x:v>Known</x:v>
      </x:c>
      <x:c r="L47" s="15" t="str">
        <x:v>DigiKey invoice 128543474; unit price with proportional tariff, shipping, and tax</x:v>
      </x:c>
    </x:row>
    <x:row r="48" ht="26.399999618530273" hidden="0" customHeight="1">
      <x:c r="A48" s="16" t="n">
        <x:v>42</x:v>
      </x:c>
      <x:c r="B48" s="15" t="str">
        <x:v>Passives</x:v>
      </x:c>
      <x:c r="C48" s="15" t="str">
        <x:v>R23</x:v>
      </x:c>
      <x:c r="D48" s="16" t="n">
        <x:v>1</x:v>
      </x:c>
      <x:c r="E48" s="15" t="str">
        <x:v>1.3 MΩ resistor</x:v>
      </x:c>
      <x:c r="F48" s="15" t="str">
        <x:v>1%, 1/4 W, axial</x:v>
      </x:c>
      <x:c r="G48" s="15" t="str">
        <x:v>Yageo</x:v>
      </x:c>
      <x:c r="H48" s="15" t="str">
        <x:v>MFR-25FBF52-1M3</x:v>
      </x:c>
      <x:c r="I48" s="19" t="n">
        <x:v>0.14875647668393785</x:v>
      </x:c>
      <x:c r="J48" s="20" t="n">
        <x:f>IF(I48="","",D48*I48)</x:f>
        <x:v>0.14875647668393785</x:v>
      </x:c>
      <x:c r="K48" s="15" t="str">
        <x:v>Known</x:v>
      </x:c>
      <x:c r="L48" s="15" t="str">
        <x:v>DigiKey invoice 128543474; unit price with proportional tariff, shipping, and tax</x:v>
      </x:c>
    </x:row>
    <x:row r="49" ht="26.399999618530273" hidden="0" customHeight="1">
      <x:c r="A49" s="16" t="n">
        <x:v>43</x:v>
      </x:c>
      <x:c r="B49" s="15" t="str">
        <x:v>Passives</x:v>
      </x:c>
      <x:c r="C49" s="15" t="str">
        <x:v>R29, R30, R31, R37, R43, R45</x:v>
      </x:c>
      <x:c r="D49" s="16" t="n">
        <x:v>6</x:v>
      </x:c>
      <x:c r="E49" s="15" t="str">
        <x:v>1 kΩ resistors</x:v>
      </x:c>
      <x:c r="F49" s="15" t="str">
        <x:v>1%, 1/4 W, axial</x:v>
      </x:c>
      <x:c r="G49" s="15" t="str">
        <x:v>Yageo</x:v>
      </x:c>
      <x:c r="H49" s="15" t="str">
        <x:v>MFR-25FRF52-1K</x:v>
      </x:c>
      <x:c r="I49" s="19" t="n">
        <x:v>0.05679792746113991</x:v>
      </x:c>
      <x:c r="J49" s="20" t="n">
        <x:f>IF(I49="","",D49*I49)</x:f>
        <x:v>0.34078756476683947</x:v>
      </x:c>
      <x:c r="K49" s="15" t="str">
        <x:v>Known</x:v>
      </x:c>
      <x:c r="L49" s="15" t="str">
        <x:v>DigiKey invoice 128543474; unit price with proportional tariff, shipping, and tax</x:v>
      </x:c>
    </x:row>
    <x:row r="50" ht="26.399999618530273" hidden="0" customHeight="1">
      <x:c r="A50" s="16" t="n">
        <x:v>44</x:v>
      </x:c>
      <x:c r="B50" s="15" t="str">
        <x:v>Passives</x:v>
      </x:c>
      <x:c r="C50" s="15" t="str">
        <x:v>R34</x:v>
      </x:c>
      <x:c r="D50" s="16" t="n">
        <x:v>1</x:v>
      </x:c>
      <x:c r="E50" s="15" t="str">
        <x:v>470 Ω resistor</x:v>
      </x:c>
      <x:c r="F50" s="15" t="str">
        <x:v>1%, 1/4 W, axial</x:v>
      </x:c>
      <x:c r="G50" s="15" t="str">
        <x:v>Yageo</x:v>
      </x:c>
      <x:c r="H50" s="15" t="str">
        <x:v>MFR-25FRF52-470R</x:v>
      </x:c>
      <x:c r="I50" s="19" t="n">
        <x:v>0.1352331606217617</x:v>
      </x:c>
      <x:c r="J50" s="20" t="n">
        <x:f>IF(I50="","",D50*I50)</x:f>
        <x:v>0.1352331606217617</x:v>
      </x:c>
      <x:c r="K50" s="15" t="str">
        <x:v>Known</x:v>
      </x:c>
      <x:c r="L50" s="15" t="str">
        <x:v>DigiKey invoice 128543474; unit price with proportional tariff, shipping, and tax</x:v>
      </x:c>
    </x:row>
    <x:row r="51" ht="39.599998474121094" hidden="0" customHeight="1">
      <x:c r="A51" s="16" t="n">
        <x:v>45</x:v>
      </x:c>
      <x:c r="B51" s="15" t="str">
        <x:v>Control and sensing</x:v>
      </x:c>
      <x:c r="C51" s="15" t="str">
        <x:v>R36</x:v>
      </x:c>
      <x:c r="D51" s="16" t="n">
        <x:v>1</x:v>
      </x:c>
      <x:c r="E51" s="15" t="str">
        <x:v>10 kΩ NTC thermistor</x:v>
      </x:c>
      <x:c r="F51" s="15" t="str">
        <x:v>B = 3380 K, radial bead</x:v>
      </x:c>
      <x:c r="G51" s="15" t="str">
        <x:v>Murata Electronics</x:v>
      </x:c>
      <x:c r="H51" s="15" t="str">
        <x:v>NXRT15XH103FA1B040</x:v>
      </x:c>
      <x:c r="I51" s="19" t="n">
        <x:v>0.47331606217616584</x:v>
      </x:c>
      <x:c r="J51" s="20" t="n">
        <x:f>IF(I51="","",D51*I51)</x:f>
        <x:v>0.47331606217616584</x:v>
      </x:c>
      <x:c r="K51" s="15" t="str">
        <x:v>Known</x:v>
      </x:c>
      <x:c r="L51" s="15" t="str">
        <x:v>Correct purchased thermistor; raw Altium description listed 3950 K. DigiKey invoice 128543474; unit price with proportional tariff, shipping, and tax</x:v>
      </x:c>
    </x:row>
    <x:row r="52" ht="26.399999618530273" hidden="0" customHeight="1">
      <x:c r="A52" s="16" t="n">
        <x:v>46</x:v>
      </x:c>
      <x:c r="B52" s="15" t="str">
        <x:v>Passives</x:v>
      </x:c>
      <x:c r="C52" s="15" t="str">
        <x:v>R39, R40, R42, R46</x:v>
      </x:c>
      <x:c r="D52" s="16" t="n">
        <x:v>4</x:v>
      </x:c>
      <x:c r="E52" s="15" t="str">
        <x:v>220 Ω resistors</x:v>
      </x:c>
      <x:c r="F52" s="15" t="str">
        <x:v>Axial through-hole; used for LED/current limiting</x:v>
      </x:c>
      <x:c r="G52" s="15" t="str">
        <x:v>Generic / existing stock</x:v>
      </x:c>
      <x:c r="H52" s="15" t="str">
        <x:v>Not documented</x:v>
      </x:c>
      <x:c r="I52" s="19"/>
      <x:c r="J52" s="20" t="str">
        <x:f>IF(I52="","",D52*I52)</x:f>
      </x:c>
      <x:c r="K52" s="15" t="str">
        <x:v>Cost not documented</x:v>
      </x:c>
      <x:c r="L52" s="15" t="str">
        <x:v>Installed parts are included, but no purchase record or unit price was provided</x:v>
      </x:c>
    </x:row>
    <x:row r="53" ht="26.399999618530273" hidden="0" customHeight="1">
      <x:c r="A53" s="16" t="n">
        <x:v>47</x:v>
      </x:c>
      <x:c r="B53" s="15" t="str">
        <x:v>Interconnect and protection</x:v>
      </x:c>
      <x:c r="C53" s="15" t="str">
        <x:v>S2</x:v>
      </x:c>
      <x:c r="D53" s="16" t="n">
        <x:v>1</x:v>
      </x:c>
      <x:c r="E53" s="15" t="str">
        <x:v>6-position JST-XH header</x:v>
      </x:c>
      <x:c r="F53" s="15" t="str">
        <x:v>Vertical, 2.50 mm pitch; mode-switch interface</x:v>
      </x:c>
      <x:c r="G53" s="15" t="str">
        <x:v>JST</x:v>
      </x:c>
      <x:c r="H53" s="15" t="str">
        <x:v>B6B-XH-AM(LF)(SN)</x:v>
      </x:c>
      <x:c r="I53" s="19"/>
      <x:c r="J53" s="20" t="str">
        <x:f>IF(I53="","",D53*I53)</x:f>
      </x:c>
      <x:c r="K53" s="15" t="str">
        <x:v>Included in connector-set cost</x:v>
      </x:c>
      <x:c r="L53" s="15" t="str">
        <x:v>Cost included in the $1.50 miscellaneous connector set on Off-board BOM</x:v>
      </x:c>
    </x:row>
    <x:row r="54" ht="26.399999618530273" hidden="0" customHeight="1">
      <x:c r="A54" s="16" t="n">
        <x:v>48</x:v>
      </x:c>
      <x:c r="B54" s="15" t="str">
        <x:v>Power conversion</x:v>
      </x:c>
      <x:c r="C54" s="15" t="str">
        <x:v>U1</x:v>
      </x:c>
      <x:c r="D54" s="16" t="n">
        <x:v>1</x:v>
      </x:c>
      <x:c r="E54" s="15" t="str">
        <x:v>TL494 PWM controller</x:v>
      </x:c>
      <x:c r="F54" s="15" t="str">
        <x:v>16-pin PDIP</x:v>
      </x:c>
      <x:c r="G54" s="15" t="str">
        <x:v>Texas Instruments</x:v>
      </x:c>
      <x:c r="H54" s="15" t="str">
        <x:v>TL494CN</x:v>
      </x:c>
      <x:c r="I54" s="19" t="n">
        <x:v>0.7708290155440415</x:v>
      </x:c>
      <x:c r="J54" s="20" t="n">
        <x:f>IF(I54="","",D54*I54)</x:f>
        <x:v>0.7708290155440415</x:v>
      </x:c>
      <x:c r="K54" s="15" t="str">
        <x:v>Known</x:v>
      </x:c>
      <x:c r="L54" s="15" t="str">
        <x:v>DigiKey invoice 128543474; unit price with proportional tariff, shipping, and tax</x:v>
      </x:c>
    </x:row>
    <x:row r="55" ht="26.399999618530273" hidden="0" customHeight="1">
      <x:c r="A55" s="16" t="n">
        <x:v>49</x:v>
      </x:c>
      <x:c r="B55" s="15" t="str">
        <x:v>Power conversion</x:v>
      </x:c>
      <x:c r="C55" s="15" t="str">
        <x:v>U2</x:v>
      </x:c>
      <x:c r="D55" s="16" t="n">
        <x:v>1</x:v>
      </x:c>
      <x:c r="E55" s="15" t="str">
        <x:v>High-side/low-side gate driver</x:v>
      </x:c>
      <x:c r="F55" s="15" t="str">
        <x:v>500 V half-bridge driver, 14-pin PDIP</x:v>
      </x:c>
      <x:c r="G55" s="15" t="str">
        <x:v>Infineon Technologies</x:v>
      </x:c>
      <x:c r="H55" s="15" t="str">
        <x:v>IRS2110PBF</x:v>
      </x:c>
      <x:c r="I55" s="19" t="n">
        <x:v>6.166632124352332</x:v>
      </x:c>
      <x:c r="J55" s="20" t="n">
        <x:f>IF(I55="","",D55*I55)</x:f>
        <x:v>6.166632124352332</x:v>
      </x:c>
      <x:c r="K55" s="15" t="str">
        <x:v>Known</x:v>
      </x:c>
      <x:c r="L55" s="15" t="str">
        <x:v>DigiKey invoice 128543474; unit price with proportional tariff, shipping, and tax</x:v>
      </x:c>
    </x:row>
    <x:row r="56" ht="26.399999618530273" hidden="0" customHeight="1">
      <x:c r="A56" s="16" t="n">
        <x:v>50</x:v>
      </x:c>
      <x:c r="B56" s="15" t="str">
        <x:v>Control and sensing</x:v>
      </x:c>
      <x:c r="C56" s="15" t="str">
        <x:v>U3</x:v>
      </x:c>
      <x:c r="D56" s="16" t="n">
        <x:v>1</x:v>
      </x:c>
      <x:c r="E56" s="15" t="str">
        <x:v>MSP430 microcontroller</x:v>
      </x:c>
      <x:c r="F56" s="15" t="str">
        <x:v>16 MHz, 16 KB Flash, 20-pin PDIP</x:v>
      </x:c>
      <x:c r="G56" s="15" t="str">
        <x:v>Texas Instruments</x:v>
      </x:c>
      <x:c r="H56" s="15" t="str">
        <x:v>MSP430G2553IN20</x:v>
      </x:c>
      <x:c r="I56" s="19" t="n">
        <x:v>5.531036269430052</x:v>
      </x:c>
      <x:c r="J56" s="20" t="n">
        <x:f>IF(I56="","",D56*I56)</x:f>
        <x:v>5.531036269430052</x:v>
      </x:c>
      <x:c r="K56" s="15" t="str">
        <x:v>Known</x:v>
      </x:c>
      <x:c r="L56" s="15" t="str">
        <x:v>DigiKey invoice 128543474; unit price with proportional tariff, shipping, and tax</x:v>
      </x:c>
    </x:row>
    <x:row r="57" ht="26.399999618530273" hidden="0" customHeight="1">
      <x:c r="A57" s="16" t="n">
        <x:v>51</x:v>
      </x:c>
      <x:c r="B57" s="15" t="str">
        <x:v>Control and sensing</x:v>
      </x:c>
      <x:c r="C57" s="15" t="str">
        <x:v>U4</x:v>
      </x:c>
      <x:c r="D57" s="16" t="n">
        <x:v>1</x:v>
      </x:c>
      <x:c r="E57" s="15" t="str">
        <x:v>Battery current sensor</x:v>
      </x:c>
      <x:c r="F57" s="15" t="str">
        <x:v>Unidirectional Hall-effect sensor, 50 A</x:v>
      </x:c>
      <x:c r="G57" s="15" t="str">
        <x:v>Allegro MicroSystems</x:v>
      </x:c>
      <x:c r="H57" s="15" t="str">
        <x:v>ACS758LCB-050U-PFF-T</x:v>
      </x:c>
      <x:c r="I57" s="19" t="n">
        <x:v>14.618704663212437</x:v>
      </x:c>
      <x:c r="J57" s="20" t="n">
        <x:f>IF(I57="","",D57*I57)</x:f>
        <x:v>14.618704663212437</x:v>
      </x:c>
      <x:c r="K57" s="15" t="str">
        <x:v>Known</x:v>
      </x:c>
      <x:c r="L57" s="15" t="str">
        <x:v>DigiKey invoice 128543474; unit price with proportional tariff, shipping, and tax</x:v>
      </x:c>
    </x:row>
    <x:row r="58" ht="26.399999618530273" hidden="0" customHeight="1">
      <x:c r="A58" s="16" t="n">
        <x:v>52</x:v>
      </x:c>
      <x:c r="B58" s="15" t="str">
        <x:v>Control and sensing</x:v>
      </x:c>
      <x:c r="C58" s="15" t="str">
        <x:v>U5</x:v>
      </x:c>
      <x:c r="D58" s="16" t="n">
        <x:v>1</x:v>
      </x:c>
      <x:c r="E58" s="15" t="str">
        <x:v>Buck-output current sensor</x:v>
      </x:c>
      <x:c r="F58" s="15" t="str">
        <x:v>GMR current sensor, 2.5 A range, SOIC-8</x:v>
      </x:c>
      <x:c r="G58" s="15" t="str">
        <x:v>Allegro MicroSystems</x:v>
      </x:c>
      <x:c r="H58" s="15" t="str">
        <x:v>ACS70331EOLCTR-2P5U3</x:v>
      </x:c>
      <x:c r="I58" s="19" t="n">
        <x:v>3.8811917098445603</x:v>
      </x:c>
      <x:c r="J58" s="20" t="n">
        <x:f>IF(I58="","",D58*I58)</x:f>
        <x:v>3.8811917098445603</x:v>
      </x:c>
      <x:c r="K58" s="15" t="str">
        <x:v>Known</x:v>
      </x:c>
      <x:c r="L58" s="15" t="str">
        <x:v>DigiKey invoice 128543474; unit price with proportional tariff, shipping, and tax</x:v>
      </x:c>
    </x:row>
    <x:row r="59" ht="15" hidden="0" customHeight="1">
      <x:c r="A59" s="16" t="n">
        <x:v>53</x:v>
      </x:c>
      <x:c r="B59" s="15" t="str">
        <x:v>IC sockets</x:v>
      </x:c>
      <x:c r="C59" s="15" t="str">
        <x:v>U1 socket</x:v>
      </x:c>
      <x:c r="D59" s="16" t="n">
        <x:v>1</x:v>
      </x:c>
      <x:c r="E59" s="15" t="str">
        <x:v>16-pin machine-pin IC socket</x:v>
      </x:c>
      <x:c r="F59" s="15" t="str">
        <x:v>0.3-inch DIP socket</x:v>
      </x:c>
      <x:c r="G59" s="15" t="str">
        <x:v>Adam Tech</x:v>
      </x:c>
      <x:c r="H59" s="15" t="str">
        <x:v>ICM-316-1-GT-HT</x:v>
      </x:c>
      <x:c r="I59" s="19" t="n">
        <x:v>2.425686274509804</x:v>
      </x:c>
      <x:c r="J59" s="20" t="n">
        <x:f>IF(I59="","",D59*I59)</x:f>
        <x:v>2.425686274509804</x:v>
      </x:c>
      <x:c r="K59" s="15" t="str">
        <x:v>Known</x:v>
      </x:c>
      <x:c r="L59" s="15" t="str">
        <x:v>DigiKey invoice 128551076; allocated delivered unit cost</x:v>
      </x:c>
    </x:row>
    <x:row r="60" ht="15" hidden="0" customHeight="1">
      <x:c r="A60" s="16" t="n">
        <x:v>54</x:v>
      </x:c>
      <x:c r="B60" s="15" t="str">
        <x:v>IC sockets</x:v>
      </x:c>
      <x:c r="C60" s="15" t="str">
        <x:v>U2 socket</x:v>
      </x:c>
      <x:c r="D60" s="16" t="n">
        <x:v>1</x:v>
      </x:c>
      <x:c r="E60" s="15" t="str">
        <x:v>14-pin machine-pin IC socket</x:v>
      </x:c>
      <x:c r="F60" s="15" t="str">
        <x:v>0.3-inch DIP socket</x:v>
      </x:c>
      <x:c r="G60" s="15" t="str">
        <x:v>Adam Tech</x:v>
      </x:c>
      <x:c r="H60" s="15" t="str">
        <x:v>ICM-314-1-GT-HT</x:v>
      </x:c>
      <x:c r="I60" s="19" t="n">
        <x:v>2.8072549019607846</x:v>
      </x:c>
      <x:c r="J60" s="20" t="n">
        <x:f>IF(I60="","",D60*I60)</x:f>
        <x:v>2.8072549019607846</x:v>
      </x:c>
      <x:c r="K60" s="15" t="str">
        <x:v>Known</x:v>
      </x:c>
      <x:c r="L60" s="15" t="str">
        <x:v>DigiKey invoice 128551076; allocated delivered unit cost</x:v>
      </x:c>
    </x:row>
    <x:row r="61" ht="15" hidden="0" customHeight="1">
      <x:c r="A61" s="16" t="n">
        <x:v>55</x:v>
      </x:c>
      <x:c r="B61" s="15" t="str">
        <x:v>IC sockets</x:v>
      </x:c>
      <x:c r="C61" s="15" t="str">
        <x:v>Op-amp socket</x:v>
      </x:c>
      <x:c r="D61" s="16" t="n">
        <x:v>1</x:v>
      </x:c>
      <x:c r="E61" s="15" t="str">
        <x:v>8-pin machine-pin IC socket</x:v>
      </x:c>
      <x:c r="F61" s="15" t="str">
        <x:v>0.3-inch DIP socket</x:v>
      </x:c>
      <x:c r="G61" s="15" t="str">
        <x:v>Adam Tech</x:v>
      </x:c>
      <x:c r="H61" s="15" t="str">
        <x:v>ICM-308-1-GT-HT</x:v>
      </x:c>
      <x:c r="I61" s="19" t="n">
        <x:v>1.9623529411764706</x:v>
      </x:c>
      <x:c r="J61" s="20" t="n">
        <x:f>IF(I61="","",D61*I61)</x:f>
        <x:v>1.9623529411764706</x:v>
      </x:c>
      <x:c r="K61" s="15" t="str">
        <x:v>Known</x:v>
      </x:c>
      <x:c r="L61" s="15" t="str">
        <x:v>DigiKey invoice 128551076; allocated delivered unit cost</x:v>
      </x:c>
    </x:row>
    <x:row r="62" ht="15" hidden="0" customHeight="1">
      <x:c r="A62" s="16" t="n">
        <x:v>56</x:v>
      </x:c>
      <x:c r="B62" s="15" t="str">
        <x:v>IC sockets</x:v>
      </x:c>
      <x:c r="C62" s="15" t="str">
        <x:v>U3 socket</x:v>
      </x:c>
      <x:c r="D62" s="16" t="n">
        <x:v>1</x:v>
      </x:c>
      <x:c r="E62" s="15" t="str">
        <x:v>20-pin IC socket</x:v>
      </x:c>
      <x:c r="F62" s="15" t="str">
        <x:v>0.3-inch DIP socket</x:v>
      </x:c>
      <x:c r="G62" s="15" t="str">
        <x:v>CNC Tech</x:v>
      </x:c>
      <x:c r="H62" s="15" t="str">
        <x:v>245-20-1-03</x:v>
      </x:c>
      <x:c r="I62" s="19" t="n">
        <x:v>2.5347058823529416</x:v>
      </x:c>
      <x:c r="J62" s="20" t="n">
        <x:f>IF(I62="","",D62*I62)</x:f>
        <x:v>2.5347058823529416</x:v>
      </x:c>
      <x:c r="K62" s="15" t="str">
        <x:v>Known</x:v>
      </x:c>
      <x:c r="L62" s="15" t="str">
        <x:v>DigiKey invoice 128551076; allocated delivered unit cost</x:v>
      </x:c>
    </x:row>
  </x:sheetData>
  <x:mergeCells>
    <x:mergeCell ref="A1:L1"/>
    <x:mergeCell ref="A2:L2"/>
    <x:mergeCell ref="A3:L3"/>
  </x:mergeCells>
  <x:conditionalFormatting sqref="K7:K62">
    <x:cfRule type="containsText" dxfId="0" priority="1" operator="containsText" text="Cost not documented"/>
    <x:cfRule type="containsText" dxfId="1" priority="2" operator="containsText" text="Included in connector-set cost"/>
  </x:conditionalFormatting>
  <x:pageMargins left="0.7" right="0.7" top="0.75" bottom="0.75" header="0.3" footer="0.3"/>
  <x:tableParts count="1">
    <x:tablePart xmlns:r="http://schemas.openxmlformats.org/officeDocument/2006/relationships" r:id="Rbd80cda1c1814d3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2" hidden="0" customWidth="1"/>
    <x:col min="3" max="3" width="26" hidden="0" customWidth="1"/>
    <x:col min="4" max="4" width="8" hidden="0" customWidth="1"/>
    <x:col min="5" max="5" width="29" hidden="0" customWidth="1"/>
    <x:col min="6" max="6" width="36" hidden="0" customWidth="1"/>
    <x:col min="7" max="7" width="24" hidden="0" customWidth="1"/>
    <x:col min="8" max="8" width="28" hidden="0" customWidth="1"/>
    <x:col min="9" max="9" width="15" hidden="0" customWidth="1"/>
    <x:col min="10" max="10" width="14" hidden="0" customWidth="1"/>
    <x:col min="11" max="11" width="23" hidden="0" customWidth="1"/>
    <x:col min="12" max="12" width="46" hidden="0" customWidth="1"/>
  </x:cols>
  <x:sheetData>
    <x:row r="1" ht="28" customHeight="1">
      <x:c r="A1" s="3" t="str">
        <x:v>Appendix C - Table C.2: Off-board System Bill of Materials</x:v>
      </x:c>
      <x:c r="B1" s="3"/>
      <x:c r="C1" s="3"/>
      <x:c r="D1" s="3"/>
      <x:c r="E1" s="3"/>
      <x:c r="F1" s="3"/>
      <x:c r="G1" s="3"/>
      <x:c r="H1" s="3"/>
      <x:c r="I1" s="3"/>
      <x:c r="J1" s="3"/>
      <x:c r="K1" s="3"/>
      <x:c r="L1" s="3"/>
    </x:row>
    <x:row r="2" ht="24" customHeight="1">
      <x:c r="A2" s="7" t="str">
        <x:v>Installed battery, charger, display, controls, indicators, enclosure, wiring, and hardware.</x:v>
      </x:c>
      <x:c r="B2" s="7"/>
      <x:c r="C2" s="7"/>
      <x:c r="D2" s="7"/>
      <x:c r="E2" s="7"/>
      <x:c r="F2" s="7"/>
      <x:c r="G2" s="7"/>
      <x:c r="H2" s="7"/>
      <x:c r="I2" s="7"/>
      <x:c r="J2" s="7"/>
      <x:c r="K2" s="7"/>
      <x:c r="L2" s="7"/>
    </x:row>
    <x:row r="3" ht="24" customHeight="1">
      <x:c r="A3" s="7" t="str">
        <x:v>All quantities correspond to one completed system. Purchased spares and unused multipack quantities are excluded.</x:v>
      </x:c>
      <x:c r="B3" s="7"/>
      <x:c r="C3" s="7"/>
      <x:c r="D3" s="7"/>
      <x:c r="E3" s="7"/>
      <x:c r="F3" s="7"/>
      <x:c r="G3" s="7"/>
      <x:c r="H3" s="7"/>
      <x:c r="I3" s="7"/>
      <x:c r="J3" s="7"/>
      <x:c r="K3" s="7"/>
      <x:c r="L3" s="7"/>
    </x:row>
    <x:row r="6" ht="36" hidden="0" customHeight="1">
      <x:c r="A6" s="13" t="str">
        <x:v>Item</x:v>
      </x:c>
      <x:c r="B6" s="13" t="str">
        <x:v>Cost category</x:v>
      </x:c>
      <x:c r="C6" s="13" t="str">
        <x:v>Designators</x:v>
      </x:c>
      <x:c r="D6" s="13" t="str">
        <x:v>Qty.</x:v>
      </x:c>
      <x:c r="E6" s="13" t="str">
        <x:v>Component / value</x:v>
      </x:c>
      <x:c r="F6" s="13" t="str">
        <x:v>Key specification</x:v>
      </x:c>
      <x:c r="G6" s="13" t="str">
        <x:v>Manufacturer</x:v>
      </x:c>
      <x:c r="H6" s="13" t="str">
        <x:v>Manufacturer part number</x:v>
      </x:c>
      <x:c r="I6" s="13" t="str">
        <x:v>Allocated unit cost</x:v>
      </x:c>
      <x:c r="J6" s="13" t="str">
        <x:v>Extended cost</x:v>
      </x:c>
      <x:c r="K6" s="13" t="str">
        <x:v>Cost status</x:v>
      </x:c>
      <x:c r="L6" s="13" t="str">
        <x:v>Source / allocation note</x:v>
      </x:c>
    </x:row>
    <x:row r="7" ht="26.399999618530273" hidden="0" customHeight="1">
      <x:c r="A7" s="16" t="n">
        <x:v>1</x:v>
      </x:c>
      <x:c r="B7" s="15" t="str">
        <x:v>Battery and charging</x:v>
      </x:c>
      <x:c r="C7" s="15" t="str">
        <x:v>BAT1</x:v>
      </x:c>
      <x:c r="D7" s="16" t="n">
        <x:v>1</x:v>
      </x:c>
      <x:c r="E7" s="15" t="str">
        <x:v>3S LiPo battery pack</x:v>
      </x:c>
      <x:c r="F7" s="15" t="str">
        <x:v>11.1 V nominal, 2200 mAh, 50C; XT60 and JST-XH leads</x:v>
      </x:c>
      <x:c r="G7" s="15" t="str">
        <x:v>Zeee</x:v>
      </x:c>
      <x:c r="H7" s="15" t="str">
        <x:v>3S 2200 mAh pack</x:v>
      </x:c>
      <x:c r="I7" s="19" t="n">
        <x:v>10.995</x:v>
      </x:c>
      <x:c r="J7" s="20" t="n">
        <x:f>IF(I7="","",D7*I7)</x:f>
        <x:v>10.995</x:v>
      </x:c>
      <x:c r="K7" s="15" t="str">
        <x:v>Known</x:v>
      </x:c>
      <x:c r="L7" s="15" t="str">
        <x:v>One battery used from a two-battery set; only the installed share is allocated</x:v>
      </x:c>
    </x:row>
    <x:row r="8" ht="26.399999618530273" hidden="0" customHeight="1">
      <x:c r="A8" s="16" t="n">
        <x:v>2</x:v>
      </x:c>
      <x:c r="B8" s="15" t="str">
        <x:v>Battery and charging</x:v>
      </x:c>
      <x:c r="C8" s="15" t="str">
        <x:v>CHG1</x:v>
      </x:c>
      <x:c r="D8" s="16" t="n">
        <x:v>1</x:v>
      </x:c>
      <x:c r="E8" s="15" t="str">
        <x:v>2S/3S LiPo balance charger</x:v>
      </x:c>
      <x:c r="F8" s="15" t="str">
        <x:v>Internal charger assembly connected to external charging port</x:v>
      </x:c>
      <x:c r="G8" s="15" t="str">
        <x:v>SSUPCHG</x:v>
      </x:c>
      <x:c r="H8" s="15" t="str">
        <x:v>ZY-B3PRO-12W / 2S-3S XHR charger</x:v>
      </x:c>
      <x:c r="I8" s="19" t="n">
        <x:v>12.99</x:v>
      </x:c>
      <x:c r="J8" s="20" t="n">
        <x:f>IF(I8="","",D8*I8)</x:f>
        <x:v>12.99</x:v>
      </x:c>
      <x:c r="K8" s="15" t="str">
        <x:v>Known</x:v>
      </x:c>
      <x:c r="L8" s="15" t="str">
        <x:v>Actual purchase price provided by user</x:v>
      </x:c>
    </x:row>
    <x:row r="9" ht="26.399999618530273" hidden="0" customHeight="1">
      <x:c r="A9" s="16" t="n">
        <x:v>3</x:v>
      </x:c>
      <x:c r="B9" s="15" t="str">
        <x:v>User interface</x:v>
      </x:c>
      <x:c r="C9" s="15" t="str">
        <x:v>DISP1</x:v>
      </x:c>
      <x:c r="D9" s="16" t="n">
        <x:v>1</x:v>
      </x:c>
      <x:c r="E9" s="15" t="str">
        <x:v>2.42-inch OLED module</x:v>
      </x:c>
      <x:c r="F9" s="15" t="str">
        <x:v>128 × 64, SSD1309, I2C interface</x:v>
      </x:c>
      <x:c r="G9" s="15" t="str">
        <x:v>HiLetgo</x:v>
      </x:c>
      <x:c r="H9" s="15" t="str">
        <x:v>2.42-inch SSD1309 module</x:v>
      </x:c>
      <x:c r="I9" s="19" t="n">
        <x:v>5.99</x:v>
      </x:c>
      <x:c r="J9" s="20" t="n">
        <x:f>IF(I9="","",D9*I9)</x:f>
        <x:v>5.99</x:v>
      </x:c>
      <x:c r="K9" s="15" t="str">
        <x:v>Known</x:v>
      </x:c>
      <x:c r="L9" s="15" t="str">
        <x:v>Actual purchase price was $5.99; current listing price is not used</x:v>
      </x:c>
    </x:row>
    <x:row r="10" ht="26.399999618530273" hidden="0" customHeight="1">
      <x:c r="A10" s="16" t="n">
        <x:v>4</x:v>
      </x:c>
      <x:c r="B10" s="15" t="str">
        <x:v>User interface</x:v>
      </x:c>
      <x:c r="C10" s="15" t="str">
        <x:v>SW_SEL</x:v>
      </x:c>
      <x:c r="D10" s="16" t="n">
        <x:v>1</x:v>
      </x:c>
      <x:c r="E10" s="15" t="str">
        <x:v>Three-position rotary selector</x:v>
      </x:c>
      <x:c r="F10" s="15" t="str">
        <x:v>Four-pole, three-position rotary switch</x:v>
      </x:c>
      <x:c r="G10" s="15" t="str">
        <x:v>Lorlin</x:v>
      </x:c>
      <x:c r="H10" s="15" t="str">
        <x:v>CK1027</x:v>
      </x:c>
      <x:c r="I10" s="19" t="n">
        <x:v>11.67</x:v>
      </x:c>
      <x:c r="J10" s="20" t="n">
        <x:f>IF(I10="","",D10*I10)</x:f>
        <x:v>11.67</x:v>
      </x:c>
      <x:c r="K10" s="15" t="str">
        <x:v>Known</x:v>
      </x:c>
      <x:c r="L10" s="15" t="str">
        <x:v>Mouser order 91197944; delivered order cost for the one installed switch</x:v>
      </x:c>
    </x:row>
    <x:row r="11" ht="26.399999618530273" hidden="0" customHeight="1">
      <x:c r="A11" s="16" t="n">
        <x:v>5</x:v>
      </x:c>
      <x:c r="B11" s="15" t="str">
        <x:v>User interface</x:v>
      </x:c>
      <x:c r="C11" s="15" t="str">
        <x:v>KNOB1</x:v>
      </x:c>
      <x:c r="D11" s="16" t="n">
        <x:v>1</x:v>
      </x:c>
      <x:c r="E11" s="15" t="str">
        <x:v>Aluminum selector knob</x:v>
      </x:c>
      <x:c r="F11" s="15" t="str">
        <x:v>1/4-inch shaft, silver, indicator mark</x:v>
      </x:c>
      <x:c r="G11" s="15" t="str">
        <x:v>KAISH</x:v>
      </x:c>
      <x:c r="H11" s="15" t="str">
        <x:v>Universal aluminum control knob</x:v>
      </x:c>
      <x:c r="I11" s="19" t="n">
        <x:v>4.995</x:v>
      </x:c>
      <x:c r="J11" s="20" t="n">
        <x:f>IF(I11="","",D11*I11)</x:f>
        <x:v>4.995</x:v>
      </x:c>
      <x:c r="K11" s="15" t="str">
        <x:v>Known</x:v>
      </x:c>
      <x:c r="L11" s="15" t="str">
        <x:v>One knob used from a two-knob package; only the installed share is allocated</x:v>
      </x:c>
    </x:row>
    <x:row r="12" ht="26.399999618530273" hidden="0" customHeight="1">
      <x:c r="A12" s="16" t="n">
        <x:v>6</x:v>
      </x:c>
      <x:c r="B12" s="15" t="str">
        <x:v>User interface</x:v>
      </x:c>
      <x:c r="C12" s="15" t="str">
        <x:v>SW_MODE</x:v>
      </x:c>
      <x:c r="D12" s="16" t="n">
        <x:v>1</x:v>
      </x:c>
      <x:c r="E12" s="15" t="str">
        <x:v>ON-OFF-ON operating-mode toggle switch</x:v>
      </x:c>
      <x:c r="F12" s="15" t="str">
        <x:v>DPDT, six-terminal, panel-mount</x:v>
      </x:c>
      <x:c r="G12" s="15" t="str">
        <x:v>Nilight</x:v>
      </x:c>
      <x:c r="H12" s="15" t="str">
        <x:v>6-pin heavy-duty toggle switch</x:v>
      </x:c>
      <x:c r="I12" s="19" t="n">
        <x:v>1.9780000000000002</x:v>
      </x:c>
      <x:c r="J12" s="20" t="n">
        <x:f>IF(I12="","",D12*I12)</x:f>
        <x:v>1.9780000000000002</x:v>
      </x:c>
      <x:c r="K12" s="15" t="str">
        <x:v>Known</x:v>
      </x:c>
      <x:c r="L12" s="15" t="str">
        <x:v>One switch used from a five-switch package; only the installed share is allocated</x:v>
      </x:c>
    </x:row>
    <x:row r="13" ht="15" hidden="0" customHeight="1">
      <x:c r="A13" s="16" t="n">
        <x:v>7</x:v>
      </x:c>
      <x:c r="B13" s="15" t="str">
        <x:v>User interface</x:v>
      </x:c>
      <x:c r="C13" s="15" t="str">
        <x:v>PB1</x:v>
      </x:c>
      <x:c r="D13" s="16" t="n">
        <x:v>1</x:v>
      </x:c>
      <x:c r="E13" s="15" t="str">
        <x:v>Illuminated momentary pushbutton</x:v>
      </x:c>
      <x:c r="F13" s="15" t="str">
        <x:v>16 mm, 1NO, blue 3 V LED, IP67</x:v>
      </x:c>
      <x:c r="G13" s="15" t="str">
        <x:v>Generic</x:v>
      </x:c>
      <x:c r="H13" s="15" t="str">
        <x:v>16 mm illuminated pushbutton</x:v>
      </x:c>
      <x:c r="I13" s="19" t="n">
        <x:v>2.99</x:v>
      </x:c>
      <x:c r="J13" s="20" t="n">
        <x:f>IF(I13="","",D13*I13)</x:f>
        <x:v>2.99</x:v>
      </x:c>
      <x:c r="K13" s="15" t="str">
        <x:v>Known</x:v>
      </x:c>
      <x:c r="L13" s="15" t="str">
        <x:v>Actual purchase price provided by user</x:v>
      </x:c>
    </x:row>
    <x:row r="14" ht="26.399999618530273" hidden="0" customHeight="1">
      <x:c r="A14" s="16" t="n">
        <x:v>8</x:v>
      </x:c>
      <x:c r="B14" s="15" t="str">
        <x:v>User interface</x:v>
      </x:c>
      <x:c r="C14" s="15" t="str">
        <x:v>LED_3V3, LED_5V, LED_9V</x:v>
      </x:c>
      <x:c r="D14" s="16" t="n">
        <x:v>3</x:v>
      </x:c>
      <x:c r="E14" s="15" t="str">
        <x:v>Voltage-selection indicator LEDs</x:v>
      </x:c>
      <x:c r="F14" s="15" t="str">
        <x:v>5 mm, 20 mA, clear lens</x:v>
      </x:c>
      <x:c r="G14" s="15" t="str">
        <x:v>Generic</x:v>
      </x:c>
      <x:c r="H14" s="15" t="str">
        <x:v>5 mm LED assortment</x:v>
      </x:c>
      <x:c r="I14" s="19" t="n">
        <x:v>0.12990000000000002</x:v>
      </x:c>
      <x:c r="J14" s="20" t="n">
        <x:f>IF(I14="","",D14*I14)</x:f>
        <x:v>0.38970000000000005</x:v>
      </x:c>
      <x:c r="K14" s="15" t="str">
        <x:v>Known</x:v>
      </x:c>
      <x:c r="L14" s="15" t="str">
        <x:v>Three LEDs installed; the remaining LEDs and their cost are excluded from this project</x:v>
      </x:c>
    </x:row>
    <x:row r="15" ht="26.399999618530273" hidden="0" customHeight="1">
      <x:c r="A15" s="16" t="n">
        <x:v>9</x:v>
      </x:c>
      <x:c r="B15" s="15" t="str">
        <x:v>Enclosure and hardware</x:v>
      </x:c>
      <x:c r="C15" s="15" t="str">
        <x:v>ENC1</x:v>
      </x:c>
      <x:c r="D15" s="16" t="n">
        <x:v>1</x:v>
      </x:c>
      <x:c r="E15" s="15" t="str">
        <x:v>Custom 3D-printed enclosure</x:v>
      </x:c>
      <x:c r="F15" s="15" t="str">
        <x:v>Project-specific case, panel, and integrated wire-management features</x:v>
      </x:c>
      <x:c r="G15" s="15" t="str">
        <x:v>Custom fabricated</x:v>
      </x:c>
      <x:c r="H15" s="15" t="str">
        <x:v>3D-printed enclosure</x:v>
      </x:c>
      <x:c r="I15" s="19" t="n">
        <x:v>12.46</x:v>
      </x:c>
      <x:c r="J15" s="20" t="n">
        <x:f>IF(I15="","",D15*I15)</x:f>
        <x:v>12.46</x:v>
      </x:c>
      <x:c r="K15" s="15" t="str">
        <x:v>Known</x:v>
      </x:c>
      <x:c r="L15" s="15" t="str">
        <x:v>Actual filament consumed for the completed enclosure</x:v>
      </x:c>
    </x:row>
    <x:row r="16" ht="26.399999618530273" hidden="0" customHeight="1">
      <x:c r="A16" s="16" t="n">
        <x:v>10</x:v>
      </x:c>
      <x:c r="B16" s="15" t="str">
        <x:v>Wiring and connections</x:v>
      </x:c>
      <x:c r="C16" s="15" t="str">
        <x:v>CONN_SET</x:v>
      </x:c>
      <x:c r="D16" s="16" t="n">
        <x:v>1</x:v>
      </x:c>
      <x:c r="E16" s="15" t="str">
        <x:v>Miscellaneous connector set</x:v>
      </x:c>
      <x:c r="F16" s="15" t="str">
        <x:v>Non-DigiKey headers/plugs and panel charging connector used in the completed unit</x:v>
      </x:c>
      <x:c r="G16" s="15" t="str">
        <x:v>Various</x:v>
      </x:c>
      <x:c r="H16" s="15" t="str">
        <x:v>Project connector set</x:v>
      </x:c>
      <x:c r="I16" s="19" t="n">
        <x:v>1.5</x:v>
      </x:c>
      <x:c r="J16" s="20" t="n">
        <x:f>IF(I16="","",D16*I16)</x:f>
        <x:v>1.5</x:v>
      </x:c>
      <x:c r="K16" s="15" t="str">
        <x:v>Known</x:v>
      </x:c>
      <x:c r="L16" s="15" t="str">
        <x:v>User-provided total for the connectors not listed on DigiKey invoices; PCB rows reference this grouped cost</x:v>
      </x:c>
    </x:row>
    <x:row r="17" ht="26.399999618530273" hidden="0" customHeight="1">
      <x:c r="A17" s="16" t="n">
        <x:v>11</x:v>
      </x:c>
      <x:c r="B17" s="15" t="str">
        <x:v>Wiring and connections</x:v>
      </x:c>
      <x:c r="C17" s="15" t="str">
        <x:v>WIRING</x:v>
      </x:c>
      <x:c r="D17" s="16" t="n">
        <x:v>1</x:v>
      </x:c>
      <x:c r="E17" s="15" t="str">
        <x:v>Internal and output wiring</x:v>
      </x:c>
      <x:c r="F17" s="15" t="str">
        <x:v>18 AWG buck-output leads plus low-current signal/charging wiring</x:v>
      </x:c>
      <x:c r="G17" s="15" t="str">
        <x:v>Generic / existing stock</x:v>
      </x:c>
      <x:c r="H17" s="15" t="str">
        <x:v>Not documented</x:v>
      </x:c>
      <x:c r="I17" s="19"/>
      <x:c r="J17" s="20" t="str">
        <x:f>IF(I17="","",D17*I17)</x:f>
      </x:c>
      <x:c r="K17" s="15" t="str">
        <x:v>Cost not documented</x:v>
      </x:c>
      <x:c r="L17" s="15" t="str">
        <x:v>Installed wiring is listed, but no material cost was provided</x:v>
      </x:c>
    </x:row>
    <x:row r="18" ht="26.399999618530273" hidden="0" customHeight="1">
      <x:c r="A18" s="16" t="n">
        <x:v>12</x:v>
      </x:c>
      <x:c r="B18" s="15" t="str">
        <x:v>Enclosure and hardware</x:v>
      </x:c>
      <x:c r="C18" s="15" t="str">
        <x:v>HW_SET</x:v>
      </x:c>
      <x:c r="D18" s="16" t="n">
        <x:v>1</x:v>
      </x:c>
      <x:c r="E18" s="15" t="str">
        <x:v>Mounting hardware</x:v>
      </x:c>
      <x:c r="F18" s="15" t="str">
        <x:v>PCB standoffs, screws, nuts, and associated enclosure hardware</x:v>
      </x:c>
      <x:c r="G18" s="15" t="str">
        <x:v>Generic / existing stock</x:v>
      </x:c>
      <x:c r="H18" s="15" t="str">
        <x:v>Not documented</x:v>
      </x:c>
      <x:c r="I18" s="19"/>
      <x:c r="J18" s="20" t="str">
        <x:f>IF(I18="","",D18*I18)</x:f>
      </x:c>
      <x:c r="K18" s="15" t="str">
        <x:v>Cost not documented</x:v>
      </x:c>
      <x:c r="L18" s="15" t="str">
        <x:v>Installed hardware is listed, but no purchase record or material cost was provided</x:v>
      </x:c>
    </x:row>
  </x:sheetData>
  <x:mergeCells>
    <x:mergeCell ref="A1:L1"/>
    <x:mergeCell ref="A2:L2"/>
    <x:mergeCell ref="A3:L3"/>
  </x:mergeCells>
  <x:conditionalFormatting sqref="K7:K18">
    <x:cfRule type="containsText" dxfId="2" priority="1" operator="containsText" text="Cost not documented"/>
    <x:cfRule type="containsText" dxfId="3" priority="2" operator="containsText" text="Included in connector-set cost"/>
  </x:conditionalFormatting>
  <x:pageMargins left="0.7" right="0.7" top="0.75" bottom="0.75" header="0.3" footer="0.3"/>
  <x:tableParts count="1">
    <x:tablePart xmlns:r="http://schemas.openxmlformats.org/officeDocument/2006/relationships" r:id="Rb75282dc984145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3" hidden="0" customWidth="1"/>
    <x:col min="4" max="4" width="42" hidden="0" customWidth="1"/>
    <x:col min="5" max="5" width="17" hidden="0" customWidth="1"/>
    <x:col min="6" max="6" width="23" hidden="0" customWidth="1"/>
  </x:cols>
  <x:sheetData>
    <x:row r="1" ht="15" hidden="0" customHeight="1">
      <x:c r="A1" s="3" t="str">
        <x:v>Appendix C - Cost Summary for One Completed System</x:v>
      </x:c>
      <x:c r="B1" s="3"/>
      <x:c r="C1" s="3"/>
      <x:c r="D1" s="3"/>
      <x:c r="E1" s="3"/>
      <x:c r="F1" s="3"/>
    </x:row>
    <x:row r="2" ht="15" hidden="0" customHeight="1">
      <x:c r="A2" s="6" t="str">
        <x:v>Costs are allocated only to the quantities installed. Spare parts and unused multipack quantities are excluded.</x:v>
      </x:c>
      <x:c r="B2" s="6"/>
      <x:c r="C2" s="6"/>
      <x:c r="D2" s="6"/>
      <x:c r="E2" s="6"/>
      <x:c r="F2" s="6"/>
    </x:row>
    <x:row r="3" ht="15" hidden="0" customHeight="1">
      <x:c r="A3" s="8"/>
      <x:c r="B3" s="8"/>
      <x:c r="C3" s="8"/>
      <x:c r="D3" s="8"/>
      <x:c r="E3" s="8"/>
      <x:c r="F3" s="8"/>
    </x:row>
    <x:row r="4" ht="15" hidden="0" customHeight="1">
      <x:c r="A4" s="8"/>
      <x:c r="B4" s="8"/>
      <x:c r="C4" s="8"/>
      <x:c r="D4" s="8"/>
      <x:c r="E4" s="8"/>
      <x:c r="F4" s="8"/>
    </x:row>
    <x:row r="5" ht="15" hidden="0" customHeight="1">
      <x:c r="A5" s="13" t="str">
        <x:v>Summary metric</x:v>
      </x:c>
      <x:c r="B5" s="13" t="str">
        <x:v>Value</x:v>
      </x:c>
      <x:c r="C5" s="8"/>
      <x:c r="D5" s="13" t="str">
        <x:v>Allocation basis</x:v>
      </x:c>
      <x:c r="E5" s="13" t="str">
        <x:v>Source amount</x:v>
      </x:c>
      <x:c r="F5" s="13" t="str">
        <x:v>Allocation divisor / factor</x:v>
      </x:c>
    </x:row>
    <x:row r="6" ht="15" hidden="0" customHeight="1">
      <x:c r="A6" s="24" t="str">
        <x:v>Known allocated PCB BOM cost</x:v>
      </x:c>
      <x:c r="B6" s="33" t="n">
        <x:f>SUM('PCB BOM'!$J$7:$J$62)</x:f>
        <x:v>117.88740449050091</x:v>
      </x:c>
      <x:c r="C6" s="8"/>
      <x:c r="D6" s="24" t="str">
        <x:v>DigiKey main invoice landed-cost factor</x:v>
      </x:c>
      <x:c r="E6" s="36" t="n">
        <x:v>117.45</x:v>
      </x:c>
      <x:c r="F6" s="33" t="n">
        <x:v>86.85</x:v>
      </x:c>
    </x:row>
    <x:row r="7" ht="15" hidden="0" customHeight="1">
      <x:c r="A7" s="26" t="str">
        <x:v>Known allocated off-board BOM cost</x:v>
      </x:c>
      <x:c r="B7" s="34" t="n">
        <x:f>SUM('Off-board BOM'!$J$7:$J$18)</x:f>
        <x:v>65.9577</x:v>
      </x:c>
      <x:c r="C7" s="8"/>
      <x:c r="D7" s="26" t="str">
        <x:v>DigiKey socket invoice landed-cost factor</x:v>
      </x:c>
      <x:c r="E7" s="37" t="n">
        <x:v>9.73</x:v>
      </x:c>
      <x:c r="F7" s="34" t="n">
        <x:v>3.57</x:v>
      </x:c>
    </x:row>
    <x:row r="8" ht="15" hidden="0" customHeight="1">
      <x:c r="A8" s="26" t="str">
        <x:v>Known allocated cost of one completed system</x:v>
      </x:c>
      <x:c r="B8" s="40" t="n">
        <x:f>SUM(B6:B7)</x:f>
        <x:v>183.84510449050092</x:v>
      </x:c>
      <x:c r="C8" s="8"/>
      <x:c r="D8" s="26" t="str">
        <x:v>DigiKey relay invoice landed-cost factor</x:v>
      </x:c>
      <x:c r="E8" s="37" t="n">
        <x:v>20.29</x:v>
      </x:c>
      <x:c r="F8" s="34" t="n">
        <x:v>9.84</x:v>
      </x:c>
    </x:row>
    <x:row r="9" ht="15" hidden="0" customHeight="1">
      <x:c r="A9" s="26"/>
      <x:c r="B9" s="27"/>
      <x:c r="C9" s="8"/>
      <x:c r="D9" s="26" t="str">
        <x:v>JLCPCB delivered cost per board</x:v>
      </x:c>
      <x:c r="E9" s="37" t="n">
        <x:v>87.21</x:v>
      </x:c>
      <x:c r="F9" s="27" t="n">
        <x:v>5</x:v>
      </x:c>
    </x:row>
    <x:row r="10" ht="15" hidden="0" customHeight="1">
      <x:c r="A10" s="26" t="str">
        <x:v>Line items with undocumented cost</x:v>
      </x:c>
      <x:c r="B10" s="27" t="n">
        <x:f>COUNTIF('PCB BOM'!$K$7:$K$62,"Cost not documented")+COUNTIF('Off-board BOM'!$K$7:$K$18,"Cost not documented")</x:f>
        <x:v>3</x:v>
      </x:c>
      <x:c r="C10" s="8"/>
      <x:c r="D10" s="26" t="str">
        <x:v>Battery cost per installed pack</x:v>
      </x:c>
      <x:c r="E10" s="37" t="n">
        <x:v>21.99</x:v>
      </x:c>
      <x:c r="F10" s="27" t="n">
        <x:v>2</x:v>
      </x:c>
    </x:row>
    <x:row r="11" ht="15" hidden="0" customHeight="1">
      <x:c r="A11" s="54" t="str">
        <x:v>Cost coverage: the known total excludes only the four 220 Ω resistors, 18 AWG/signal wiring, and mounting hardware because no cost records were provided.</x:v>
      </x:c>
      <x:c r="B11" s="55"/>
      <x:c r="C11" s="8"/>
      <x:c r="D11" s="26" t="str">
        <x:v>ADS1115 cost per installed module</x:v>
      </x:c>
      <x:c r="E11" s="37" t="n">
        <x:v>11.89</x:v>
      </x:c>
      <x:c r="F11" s="27" t="n">
        <x:v>3</x:v>
      </x:c>
    </x:row>
    <x:row r="12" ht="15" hidden="0" customHeight="1">
      <x:c r="A12" s="56"/>
      <x:c r="B12" s="56"/>
      <x:c r="C12" s="8"/>
      <x:c r="D12" s="26" t="str">
        <x:v>Toggle-switch cost per installed switch</x:v>
      </x:c>
      <x:c r="E12" s="37" t="n">
        <x:v>9.89</x:v>
      </x:c>
      <x:c r="F12" s="27" t="n">
        <x:v>5</x:v>
      </x:c>
    </x:row>
    <x:row r="13" ht="15" hidden="0" customHeight="1">
      <x:c r="A13" s="56"/>
      <x:c r="B13" s="56"/>
      <x:c r="C13" s="8"/>
      <x:c r="D13" s="28" t="str">
        <x:v>LED cost per installed LED</x:v>
      </x:c>
      <x:c r="E13" s="38" t="n">
        <x:v>12.99</x:v>
      </x:c>
      <x:c r="F13" s="29" t="n">
        <x:v>100</x:v>
      </x:c>
    </x:row>
    <x:row r="14" ht="15" hidden="0" customHeight="1">
      <x:c r="A14" s="13" t="str">
        <x:v>Cost category</x:v>
      </x:c>
      <x:c r="B14" s="13" t="str">
        <x:v>Allocated cost</x:v>
      </x:c>
      <x:c r="C14" s="8"/>
      <x:c r="D14" s="8"/>
      <x:c r="E14" s="8"/>
      <x:c r="F14" s="8"/>
    </x:row>
    <x:row r="15" ht="15" hidden="0" customHeight="1">
      <x:c r="A15" s="24" t="str">
        <x:v>Custom PCB fabrication</x:v>
      </x:c>
      <x:c r="B15" s="33" t="n">
        <x:f>SUMIF('PCB BOM'!$B$7:$B$62,A15,'PCB BOM'!$J$7:$J$62)+SUMIF('Off-board BOM'!$B$7:$B$18,A15,'Off-board BOM'!$J$7:$J$18)</x:f>
        <x:v>17.442</x:v>
      </x:c>
      <x:c r="C15" s="8"/>
      <x:c r="D15" s="23" t="str">
        <x:v>Method note</x:v>
      </x:c>
      <x:c r="E15" s="23"/>
      <x:c r="F15" s="23"/>
    </x:row>
    <x:row r="16" ht="15" hidden="0" customHeight="1">
      <x:c r="A16" s="26" t="str">
        <x:v>Control and sensing</x:v>
      </x:c>
      <x:c r="B16" s="34" t="n">
        <x:f>SUMIF('PCB BOM'!$B$7:$B$62,A16,'PCB BOM'!$J$7:$J$62)+SUMIF('Off-board BOM'!$B$7:$B$18,A16,'Off-board BOM'!$J$7:$J$18)</x:f>
        <x:v>55.63943868739206</x:v>
      </x:c>
      <x:c r="C16" s="8"/>
      <x:c r="D16" s="57" t="str">
        <x:v>DigiKey unit costs include a proportional allocation of tariff, shipping, and sales tax from each invoice. Other multipack purchases are divided by the number of items in the package, then multiplied only by the quantity installed. No purchased spare, replacement, or unused component is included in the BOM total.</x:v>
      </x:c>
      <x:c r="E16" s="57"/>
      <x:c r="F16" s="57"/>
    </x:row>
    <x:row r="17" ht="15" hidden="0" customHeight="1">
      <x:c r="A17" s="26" t="str">
        <x:v>Power conversion</x:v>
      </x:c>
      <x:c r="B17" s="34" t="n">
        <x:f>SUMIF('PCB BOM'!$B$7:$B$62,A17,'PCB BOM'!$J$7:$J$62)+SUMIF('Off-board BOM'!$B$7:$B$18,A17,'Off-board BOM'!$J$7:$J$18)</x:f>
        <x:v>13.131139896373057</x:v>
      </x:c>
      <x:c r="C17" s="8"/>
      <x:c r="D17" s="57"/>
      <x:c r="E17" s="57"/>
      <x:c r="F17" s="57"/>
    </x:row>
    <x:row r="18" ht="15" hidden="0" customHeight="1">
      <x:c r="A18" s="26" t="str">
        <x:v>Passives</x:v>
      </x:c>
      <x:c r="B18" s="34" t="n">
        <x:f>SUMIF('PCB BOM'!$B$7:$B$62,A18,'PCB BOM'!$J$7:$J$62)+SUMIF('Off-board BOM'!$B$7:$B$18,A18,'Off-board BOM'!$J$7:$J$18)</x:f>
        <x:v>17.982494300518145</x:v>
      </x:c>
      <x:c r="C18" s="8"/>
      <x:c r="D18" s="57"/>
      <x:c r="E18" s="57"/>
      <x:c r="F18" s="57"/>
    </x:row>
    <x:row r="19" ht="15" hidden="0" customHeight="1">
      <x:c r="A19" s="26" t="str">
        <x:v>Interconnect and protection</x:v>
      </x:c>
      <x:c r="B19" s="34" t="n">
        <x:f>SUMIF('PCB BOM'!$B$7:$B$62,A19,'PCB BOM'!$J$7:$J$62)+SUMIF('Off-board BOM'!$B$7:$B$18,A19,'Off-board BOM'!$J$7:$J$18)</x:f>
        <x:v>3.962331606217617</x:v>
      </x:c>
      <x:c r="C19" s="8"/>
      <x:c r="D19" s="57"/>
      <x:c r="E19" s="57"/>
      <x:c r="F19" s="57"/>
    </x:row>
    <x:row r="20" ht="15" hidden="0" customHeight="1">
      <x:c r="A20" s="26" t="str">
        <x:v>IC sockets</x:v>
      </x:c>
      <x:c r="B20" s="34" t="n">
        <x:f>SUMIF('PCB BOM'!$B$7:$B$62,A20,'PCB BOM'!$J$7:$J$62)+SUMIF('Off-board BOM'!$B$7:$B$18,A20,'Off-board BOM'!$J$7:$J$18)</x:f>
        <x:v>9.73</x:v>
      </x:c>
      <x:c r="C20" s="8"/>
      <x:c r="D20" s="57"/>
      <x:c r="E20" s="57"/>
      <x:c r="F20" s="57"/>
    </x:row>
    <x:row r="21" ht="15" hidden="0" customHeight="1">
      <x:c r="A21" s="26" t="str">
        <x:v>Battery and charging</x:v>
      </x:c>
      <x:c r="B21" s="34" t="n">
        <x:f>SUMIF('PCB BOM'!$B$7:$B$62,A21,'PCB BOM'!$J$7:$J$62)+SUMIF('Off-board BOM'!$B$7:$B$18,A21,'Off-board BOM'!$J$7:$J$18)</x:f>
        <x:v>23.985</x:v>
      </x:c>
      <x:c r="C21" s="8"/>
      <x:c r="D21" s="8"/>
      <x:c r="E21" s="8"/>
      <x:c r="F21" s="8"/>
    </x:row>
    <x:row r="22" ht="15" hidden="0" customHeight="1">
      <x:c r="A22" s="26" t="str">
        <x:v>User interface</x:v>
      </x:c>
      <x:c r="B22" s="34" t="n">
        <x:f>SUMIF('PCB BOM'!$B$7:$B$62,A22,'PCB BOM'!$J$7:$J$62)+SUMIF('Off-board BOM'!$B$7:$B$18,A22,'Off-board BOM'!$J$7:$J$18)</x:f>
        <x:v>28.012700000000006</x:v>
      </x:c>
      <x:c r="C22" s="8"/>
      <x:c r="D22" s="8"/>
      <x:c r="E22" s="8"/>
      <x:c r="F22" s="8"/>
    </x:row>
    <x:row r="23" ht="15" hidden="0" customHeight="1">
      <x:c r="A23" s="26" t="str">
        <x:v>Enclosure and hardware</x:v>
      </x:c>
      <x:c r="B23" s="34" t="n">
        <x:f>SUMIF('PCB BOM'!$B$7:$B$62,A23,'PCB BOM'!$J$7:$J$62)+SUMIF('Off-board BOM'!$B$7:$B$18,A23,'Off-board BOM'!$J$7:$J$18)</x:f>
        <x:v>12.46</x:v>
      </x:c>
      <x:c r="C23" s="8"/>
      <x:c r="D23" s="8"/>
      <x:c r="E23" s="8"/>
      <x:c r="F23" s="8"/>
    </x:row>
    <x:row r="24" ht="15" hidden="0" customHeight="1">
      <x:c r="A24" s="26" t="str">
        <x:v>Wiring and connections</x:v>
      </x:c>
      <x:c r="B24" s="34" t="n">
        <x:f>SUMIF('PCB BOM'!$B$7:$B$62,A24,'PCB BOM'!$J$7:$J$62)+SUMIF('Off-board BOM'!$B$7:$B$18,A24,'Off-board BOM'!$J$7:$J$18)</x:f>
        <x:v>1.5</x:v>
      </x:c>
      <x:c r="C24" s="8"/>
      <x:c r="D24" s="8"/>
      <x:c r="E24" s="8"/>
      <x:c r="F24" s="8"/>
    </x:row>
    <x:row r="25" ht="15" hidden="0" customHeight="1">
      <x:c r="A25" s="43" t="str">
        <x:v>Known allocated total</x:v>
      </x:c>
      <x:c r="B25" s="44" t="n">
        <x:f>SUM(B15:B24)</x:f>
        <x:v>183.84510449050086</x:v>
      </x:c>
      <x:c r="C25" s="8"/>
      <x:c r="D25" s="8"/>
      <x:c r="E25" s="8"/>
      <x:c r="F25" s="8"/>
    </x:row>
  </x:sheetData>
  <x:mergeCells>
    <x:mergeCell ref="A1:F1"/>
    <x:mergeCell ref="A2:F2"/>
    <x:mergeCell ref="A11:B13"/>
    <x:mergeCell ref="D15:F15"/>
    <x:mergeCell ref="D16:F20"/>
  </x:mergeCells>
  <x:pageMargins left="0.7" right="0.7" top="0.75" bottom="0.75" header="0.3" footer="0.3"/>
</x:worksheet>
</file>